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1d950f254b702/Desktop/"/>
    </mc:Choice>
  </mc:AlternateContent>
  <xr:revisionPtr revIDLastSave="13" documentId="8_{B3954458-573B-45A1-81BA-6CECAD839362}" xr6:coauthVersionLast="47" xr6:coauthVersionMax="47" xr10:uidLastSave="{17A79BF0-0288-4A0C-B343-E9752071D99F}"/>
  <bookViews>
    <workbookView xWindow="-120" yWindow="-120" windowWidth="20730" windowHeight="11310" activeTab="1" xr2:uid="{53B8AB05-C5A2-4FC7-91CE-708004FFE6FC}"/>
  </bookViews>
  <sheets>
    <sheet name="Sheet1" sheetId="1" r:id="rId1"/>
    <sheet name="Customer Churn Dashboard" sheetId="2" r:id="rId2"/>
  </sheets>
  <definedNames>
    <definedName name="_xlnm._FilterDatabase" localSheetId="0" hidden="1">Sheet1!$K$1:$K$121</definedName>
  </definedNames>
  <calcPr calcId="18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I7" i="2"/>
  <c r="I8" i="2"/>
  <c r="I6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2" i="1"/>
</calcChain>
</file>

<file path=xl/sharedStrings.xml><?xml version="1.0" encoding="utf-8"?>
<sst xmlns="http://schemas.openxmlformats.org/spreadsheetml/2006/main" count="774" uniqueCount="283">
  <si>
    <t>Customer_ID</t>
  </si>
  <si>
    <t>Customer_Name</t>
  </si>
  <si>
    <t>Age</t>
  </si>
  <si>
    <t>Gender</t>
  </si>
  <si>
    <t>City</t>
  </si>
  <si>
    <t>Subscription_Type</t>
  </si>
  <si>
    <t>Monthly_Charges</t>
  </si>
  <si>
    <t>Tenure_Months</t>
  </si>
  <si>
    <t>Complaints</t>
  </si>
  <si>
    <t>Support_Tickets</t>
  </si>
  <si>
    <t>Churn_Status</t>
  </si>
  <si>
    <t>C001</t>
  </si>
  <si>
    <t>Rahul Sharma</t>
  </si>
  <si>
    <t>Male</t>
  </si>
  <si>
    <t>Delhi</t>
  </si>
  <si>
    <t>Basic</t>
  </si>
  <si>
    <t>Yes</t>
  </si>
  <si>
    <t>C002</t>
  </si>
  <si>
    <t>Priya Singh</t>
  </si>
  <si>
    <t>Female</t>
  </si>
  <si>
    <t>Mumbai</t>
  </si>
  <si>
    <t>Premium</t>
  </si>
  <si>
    <t>No</t>
  </si>
  <si>
    <t>C003</t>
  </si>
  <si>
    <t>Amit Kumar</t>
  </si>
  <si>
    <t>Bangalore</t>
  </si>
  <si>
    <t>Standard</t>
  </si>
  <si>
    <t>C004</t>
  </si>
  <si>
    <t>Neha Gupta</t>
  </si>
  <si>
    <t>Chennai</t>
  </si>
  <si>
    <t>C005</t>
  </si>
  <si>
    <t>Arjun Verma</t>
  </si>
  <si>
    <t>Hyderabad</t>
  </si>
  <si>
    <t>C006</t>
  </si>
  <si>
    <t>Sneha Das</t>
  </si>
  <si>
    <t>Kolkata</t>
  </si>
  <si>
    <t>C007</t>
  </si>
  <si>
    <t>Vikash Yadav</t>
  </si>
  <si>
    <t>Patna</t>
  </si>
  <si>
    <t>C008</t>
  </si>
  <si>
    <t>Pooja Mishra</t>
  </si>
  <si>
    <t>C009</t>
  </si>
  <si>
    <t>Rohan Singh</t>
  </si>
  <si>
    <t>C010</t>
  </si>
  <si>
    <t>Anjali Kumari</t>
  </si>
  <si>
    <t>C011</t>
  </si>
  <si>
    <t>Karan Mehta</t>
  </si>
  <si>
    <t>C012</t>
  </si>
  <si>
    <t>Nisha Roy</t>
  </si>
  <si>
    <t>C013</t>
  </si>
  <si>
    <t>Deepak Gupta</t>
  </si>
  <si>
    <t>C014</t>
  </si>
  <si>
    <t>Shreya Jain</t>
  </si>
  <si>
    <t>C015</t>
  </si>
  <si>
    <t>Manish Kumar</t>
  </si>
  <si>
    <t>C016</t>
  </si>
  <si>
    <t>Aditi Singh</t>
  </si>
  <si>
    <t>C017</t>
  </si>
  <si>
    <t>Abhishek Raj</t>
  </si>
  <si>
    <t>C018</t>
  </si>
  <si>
    <t>Ritika Sharma</t>
  </si>
  <si>
    <t>C019</t>
  </si>
  <si>
    <t>Saurabh Verma</t>
  </si>
  <si>
    <t>C020</t>
  </si>
  <si>
    <t>Kavya Reddy</t>
  </si>
  <si>
    <t>C021</t>
  </si>
  <si>
    <t>Mohit Sinha</t>
  </si>
  <si>
    <t>C022</t>
  </si>
  <si>
    <t>Divya Gupta</t>
  </si>
  <si>
    <t>C023</t>
  </si>
  <si>
    <t>Rohit Kumar</t>
  </si>
  <si>
    <t>C024</t>
  </si>
  <si>
    <t>Simran Kaur</t>
  </si>
  <si>
    <t>C025</t>
  </si>
  <si>
    <t>Akash Singh</t>
  </si>
  <si>
    <t>C026</t>
  </si>
  <si>
    <t>Tanya Das</t>
  </si>
  <si>
    <t>C027</t>
  </si>
  <si>
    <t>Vivek Yadav</t>
  </si>
  <si>
    <t>C028</t>
  </si>
  <si>
    <t>Priti Kumari</t>
  </si>
  <si>
    <t>C029</t>
  </si>
  <si>
    <t>Gaurav Mehta</t>
  </si>
  <si>
    <t>C030</t>
  </si>
  <si>
    <t>Meera Sharma</t>
  </si>
  <si>
    <t>C031</t>
  </si>
  <si>
    <t>Nitin Kumar</t>
  </si>
  <si>
    <t>C032</t>
  </si>
  <si>
    <t>Riya Verma</t>
  </si>
  <si>
    <t>C033</t>
  </si>
  <si>
    <t>Sunil Raj</t>
  </si>
  <si>
    <t>C034</t>
  </si>
  <si>
    <t>Komal Singh</t>
  </si>
  <si>
    <t>C035</t>
  </si>
  <si>
    <t>Ajay Gupta</t>
  </si>
  <si>
    <t>C036</t>
  </si>
  <si>
    <t>Neetu Kumari</t>
  </si>
  <si>
    <t>C037</t>
  </si>
  <si>
    <t>Rajesh Kumar</t>
  </si>
  <si>
    <t>C038</t>
  </si>
  <si>
    <t>Payal Sharma</t>
  </si>
  <si>
    <t>C039</t>
  </si>
  <si>
    <t>Ankit Verma</t>
  </si>
  <si>
    <t>C040</t>
  </si>
  <si>
    <t>Swati Das</t>
  </si>
  <si>
    <t>C041</t>
  </si>
  <si>
    <t>Imran Ali</t>
  </si>
  <si>
    <t>C042</t>
  </si>
  <si>
    <t>Sonia Gupta</t>
  </si>
  <si>
    <t>C043</t>
  </si>
  <si>
    <t>Ravi Kumar</t>
  </si>
  <si>
    <t>C044</t>
  </si>
  <si>
    <t>Poonam Singh</t>
  </si>
  <si>
    <t>C045</t>
  </si>
  <si>
    <t>Faizan Khan</t>
  </si>
  <si>
    <t>C046</t>
  </si>
  <si>
    <t>Jyoti Kumari</t>
  </si>
  <si>
    <t>C047</t>
  </si>
  <si>
    <t>Ashish Verma</t>
  </si>
  <si>
    <t>C048</t>
  </si>
  <si>
    <t>Nidhi Sharma</t>
  </si>
  <si>
    <t>C049</t>
  </si>
  <si>
    <t>Harsh Raj</t>
  </si>
  <si>
    <t>C050</t>
  </si>
  <si>
    <t>Muskan Gupta</t>
  </si>
  <si>
    <t>C051</t>
  </si>
  <si>
    <t>Danish Alam</t>
  </si>
  <si>
    <t>C052</t>
  </si>
  <si>
    <t>Priyanka Das</t>
  </si>
  <si>
    <t>C053</t>
  </si>
  <si>
    <t>Vivek Sharma</t>
  </si>
  <si>
    <t>C054</t>
  </si>
  <si>
    <t>Ritu Singh</t>
  </si>
  <si>
    <t>C055</t>
  </si>
  <si>
    <t>Aditya Kumar</t>
  </si>
  <si>
    <t>C056</t>
  </si>
  <si>
    <t>Shalini Roy</t>
  </si>
  <si>
    <t>C057</t>
  </si>
  <si>
    <t>Rohit Ali</t>
  </si>
  <si>
    <t>C058</t>
  </si>
  <si>
    <t>Anu Verma</t>
  </si>
  <si>
    <t>C059</t>
  </si>
  <si>
    <t>Manav Singh</t>
  </si>
  <si>
    <t>C060</t>
  </si>
  <si>
    <t>Priti Sharma</t>
  </si>
  <si>
    <t>C061</t>
  </si>
  <si>
    <t>Arif Khan</t>
  </si>
  <si>
    <t>C062</t>
  </si>
  <si>
    <t>Kajal Gupta</t>
  </si>
  <si>
    <t>C063</t>
  </si>
  <si>
    <t>Aman Kumar</t>
  </si>
  <si>
    <t>C064</t>
  </si>
  <si>
    <t>Sakshi Singh</t>
  </si>
  <si>
    <t>C065</t>
  </si>
  <si>
    <t>Rehan Ali</t>
  </si>
  <si>
    <t>C066</t>
  </si>
  <si>
    <t>Monika Roy</t>
  </si>
  <si>
    <t>C067</t>
  </si>
  <si>
    <t>Pankaj Verma</t>
  </si>
  <si>
    <t>C068</t>
  </si>
  <si>
    <t>Nisha Gupta</t>
  </si>
  <si>
    <t>C069</t>
  </si>
  <si>
    <t>Deepak Kumar</t>
  </si>
  <si>
    <t>C070</t>
  </si>
  <si>
    <t>Aarti Sharma</t>
  </si>
  <si>
    <t>C071</t>
  </si>
  <si>
    <t>Shahid Khan</t>
  </si>
  <si>
    <t>C072</t>
  </si>
  <si>
    <t>Radhika Singh</t>
  </si>
  <si>
    <t>C073</t>
  </si>
  <si>
    <t>Nitin Gupta</t>
  </si>
  <si>
    <t>C074</t>
  </si>
  <si>
    <t>Pooja Kumari</t>
  </si>
  <si>
    <t>C075</t>
  </si>
  <si>
    <t>Akhtar Ali</t>
  </si>
  <si>
    <t>C076</t>
  </si>
  <si>
    <t>Komal Sharma</t>
  </si>
  <si>
    <t>C077</t>
  </si>
  <si>
    <t>Sandeep Kumar</t>
  </si>
  <si>
    <t>C078</t>
  </si>
  <si>
    <t>Meenal Roy</t>
  </si>
  <si>
    <t>C079</t>
  </si>
  <si>
    <t>Salman Khan</t>
  </si>
  <si>
    <t>C080</t>
  </si>
  <si>
    <t>Ruchi Gupta</t>
  </si>
  <si>
    <t>C081</t>
  </si>
  <si>
    <t>Armaan Khan</t>
  </si>
  <si>
    <t>C082</t>
  </si>
  <si>
    <t>Pooja Verma</t>
  </si>
  <si>
    <t>C083</t>
  </si>
  <si>
    <t>Kunal Singh</t>
  </si>
  <si>
    <t>C084</t>
  </si>
  <si>
    <t>Riya Sharma</t>
  </si>
  <si>
    <t>C085</t>
  </si>
  <si>
    <t>Sameer Ali</t>
  </si>
  <si>
    <t>C086</t>
  </si>
  <si>
    <t>Neha Roy</t>
  </si>
  <si>
    <t>C087</t>
  </si>
  <si>
    <t>Mohit Gupta</t>
  </si>
  <si>
    <t>C088</t>
  </si>
  <si>
    <t>Ayesha Khan</t>
  </si>
  <si>
    <t>C089</t>
  </si>
  <si>
    <t>Vikas Kumar</t>
  </si>
  <si>
    <t>C090</t>
  </si>
  <si>
    <t>Simran Gupta</t>
  </si>
  <si>
    <t>C091</t>
  </si>
  <si>
    <t>Nadeem Ali</t>
  </si>
  <si>
    <t>C092</t>
  </si>
  <si>
    <t>Priya Roy</t>
  </si>
  <si>
    <t>C093</t>
  </si>
  <si>
    <t>Rahul Verma</t>
  </si>
  <si>
    <t>C094</t>
  </si>
  <si>
    <t>Kavita Singh</t>
  </si>
  <si>
    <t>C095</t>
  </si>
  <si>
    <t>Adarsh Kumar</t>
  </si>
  <si>
    <t>C096</t>
  </si>
  <si>
    <t>Swati Gupta</t>
  </si>
  <si>
    <t>C097</t>
  </si>
  <si>
    <t>Imran Khan</t>
  </si>
  <si>
    <t>C098</t>
  </si>
  <si>
    <t>Nisha Sharma</t>
  </si>
  <si>
    <t>C099</t>
  </si>
  <si>
    <t>Manish Verma</t>
  </si>
  <si>
    <t>C100</t>
  </si>
  <si>
    <t>Komal Roy</t>
  </si>
  <si>
    <t>C101</t>
  </si>
  <si>
    <t>Faisal Khan</t>
  </si>
  <si>
    <t>C102</t>
  </si>
  <si>
    <t>Anjali Gupta</t>
  </si>
  <si>
    <t>C103</t>
  </si>
  <si>
    <t>Raj Kumar</t>
  </si>
  <si>
    <t>C104</t>
  </si>
  <si>
    <t>Priti Singh</t>
  </si>
  <si>
    <t>C105</t>
  </si>
  <si>
    <t>Salman Ali</t>
  </si>
  <si>
    <t>C106</t>
  </si>
  <si>
    <t>Meena Sharma</t>
  </si>
  <si>
    <t>C107</t>
  </si>
  <si>
    <t>Ajay Verma</t>
  </si>
  <si>
    <t>C108</t>
  </si>
  <si>
    <t>Sonia Roy</t>
  </si>
  <si>
    <t>C109</t>
  </si>
  <si>
    <t>Deepak Singh</t>
  </si>
  <si>
    <t>C110</t>
  </si>
  <si>
    <t>Ritu Gupta</t>
  </si>
  <si>
    <t>C111</t>
  </si>
  <si>
    <t>C112</t>
  </si>
  <si>
    <t>Shreya Sharma</t>
  </si>
  <si>
    <t>C113</t>
  </si>
  <si>
    <t>Vivek Kumar</t>
  </si>
  <si>
    <t>C114</t>
  </si>
  <si>
    <t>Poonam Roy</t>
  </si>
  <si>
    <t>C115</t>
  </si>
  <si>
    <t>Shahid Ali</t>
  </si>
  <si>
    <t>C116</t>
  </si>
  <si>
    <t>Aditi Gupta</t>
  </si>
  <si>
    <t>C117</t>
  </si>
  <si>
    <t>Rohit Verma</t>
  </si>
  <si>
    <t>C118</t>
  </si>
  <si>
    <t>Neetu Sharma</t>
  </si>
  <si>
    <t>C119</t>
  </si>
  <si>
    <t>Akash Khan</t>
  </si>
  <si>
    <t>C120</t>
  </si>
  <si>
    <t>Jyoti Roy</t>
  </si>
  <si>
    <t>Customer Category</t>
  </si>
  <si>
    <t>Churn Risk</t>
  </si>
  <si>
    <t>Total Customer</t>
  </si>
  <si>
    <t>Total Churn Customer</t>
  </si>
  <si>
    <t>Active Customer</t>
  </si>
  <si>
    <t>Churn Rate %</t>
  </si>
  <si>
    <t>Row Labels</t>
  </si>
  <si>
    <t>Grand Total</t>
  </si>
  <si>
    <t>Count of Customer_ID</t>
  </si>
  <si>
    <t>Churn Status</t>
  </si>
  <si>
    <t>Subscription Type</t>
  </si>
  <si>
    <t>Churn Count</t>
  </si>
  <si>
    <t>New Customer</t>
  </si>
  <si>
    <t>Loyal Customer</t>
  </si>
  <si>
    <t>Sum of Complaints</t>
  </si>
  <si>
    <t>Prepared By: Md Jeebraeel         MBA Student | Data Analytics Internship Project</t>
  </si>
  <si>
    <t>CUSTOMER CHURN PREDICTION</t>
  </si>
  <si>
    <t xml:space="preserve"> </t>
  </si>
  <si>
    <t xml:space="preserve">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</si>
</sst>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0" xfId="0" applyFont="1" applyFill="1"/>
    <xf numFmtId="0" fontId="0" fillId="0" borderId="1" xfId="0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  <xf numFmtId="0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6" fillId="0" borderId="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/>
    </xf>
    <xf numFmtId="0" fontId="4" fillId="3" borderId="0" xfId="0" applyFont="1" applyFill="1" applyBorder="1"/>
    <xf numFmtId="0" fontId="5" fillId="7" borderId="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[Book1.xlsx]Customer Churn Dashboard!PivotTable1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Churn Dashboard'!$C$12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Churn Dashboard'!$B$13:$B$15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Dashboard'!$C$13:$C$15</c:f>
              <c:numCache>
                <c:formatCode>General</c:formatCode>
                <c:ptCount val="2"/>
                <c:pt idx="0">
                  <c:v>69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0-43E1-BAD9-2EBBBA0ABAD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34972677595628"/>
          <c:y val="0.37824913526173742"/>
          <c:w val="0.14332864285500435"/>
          <c:h val="0.1521565882232246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[Book1.xlsx]Customer Churn 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by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Dashboard'!$F$14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Churn Dashboard'!$E$15:$E$18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'Customer Churn Dashboard'!$F$15:$F$18</c:f>
              <c:numCache>
                <c:formatCode>General</c:formatCode>
                <c:ptCount val="3"/>
                <c:pt idx="0">
                  <c:v>36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00F-BB07-59D808E7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346400"/>
        <c:axId val="567349760"/>
      </c:barChart>
      <c:catAx>
        <c:axId val="56734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49760"/>
        <c:crosses val="autoZero"/>
        <c:auto val="1"/>
        <c:lblAlgn val="ctr"/>
        <c:lblOffset val="100"/>
        <c:noMultiLvlLbl val="0"/>
      </c:catAx>
      <c:valAx>
        <c:axId val="5673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4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[Book1.xlsx]Customer Churn 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Dashboard'!$I$14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Churn Dashboard'!$H$15:$H$21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Patna</c:v>
                </c:pt>
              </c:strCache>
            </c:strRef>
          </c:cat>
          <c:val>
            <c:numRef>
              <c:f>'Customer Churn Dashboard'!$I$15:$I$21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6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C-49DD-9173-3154E89B8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684720"/>
        <c:axId val="594685200"/>
      </c:barChart>
      <c:catAx>
        <c:axId val="5946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5200"/>
        <c:crosses val="autoZero"/>
        <c:auto val="1"/>
        <c:lblAlgn val="ctr"/>
        <c:lblOffset val="100"/>
        <c:noMultiLvlLbl val="0"/>
      </c:catAx>
      <c:valAx>
        <c:axId val="5946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[Book1.xlsx]Customer Churn Dashboard!PivotTable5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Loyal vs New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Churn Dashboard'!$L$12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Churn Dashboard'!$K$13:$K$15</c:f>
              <c:strCache>
                <c:ptCount val="2"/>
                <c:pt idx="0">
                  <c:v>Loyal Customer</c:v>
                </c:pt>
                <c:pt idx="1">
                  <c:v>New Customer</c:v>
                </c:pt>
              </c:strCache>
            </c:strRef>
          </c:cat>
          <c:val>
            <c:numRef>
              <c:f>'Customer Churn Dashboard'!$L$13:$L$15</c:f>
              <c:numCache>
                <c:formatCode>General</c:formatCode>
                <c:ptCount val="2"/>
                <c:pt idx="0">
                  <c:v>48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D-453C-8C22-A2835D3AAD9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[Book1.xlsx]Customer Churn 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Complaints vs Churn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Churn Dashboard'!$O$12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Churn Dashboard'!$N$13:$N$15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'Customer Churn Dashboard'!$O$13:$O$15</c:f>
              <c:numCache>
                <c:formatCode>General</c:formatCode>
                <c:ptCount val="2"/>
                <c:pt idx="0">
                  <c:v>53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8-47BA-B718-DE1C0CD0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905968"/>
        <c:axId val="659918928"/>
      </c:barChart>
      <c:catAx>
        <c:axId val="6599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18928"/>
        <c:crosses val="autoZero"/>
        <c:auto val="1"/>
        <c:lblAlgn val="ctr"/>
        <c:lblOffset val="100"/>
        <c:noMultiLvlLbl val="0"/>
      </c:catAx>
      <c:valAx>
        <c:axId val="65991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22</xdr:row>
      <xdr:rowOff>4762</xdr:rowOff>
    </xdr:from>
    <xdr:to>
      <xdr:col>3</xdr:col>
      <xdr:colOff>0</xdr:colOff>
      <xdr:row>36</xdr:row>
      <xdr:rowOff>154781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42580-7A84-7347-8044-F66E7EB47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28576</xdr:colOff>
      <xdr:row>22</xdr:row>
      <xdr:rowOff>14286</xdr:rowOff>
    </xdr:from>
    <xdr:to>
      <xdr:col>6</xdr:col>
      <xdr:colOff>1</xdr:colOff>
      <xdr:row>36</xdr:row>
      <xdr:rowOff>142873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E0863C-1611-3FE5-7437-33D9B278C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</xdr:colOff>
      <xdr:row>22</xdr:row>
      <xdr:rowOff>23811</xdr:rowOff>
    </xdr:from>
    <xdr:to>
      <xdr:col>9</xdr:col>
      <xdr:colOff>9526</xdr:colOff>
      <xdr:row>36</xdr:row>
      <xdr:rowOff>154780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CFE22F-70E9-6F88-026B-8DFF63687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</xdr:colOff>
      <xdr:row>22</xdr:row>
      <xdr:rowOff>23812</xdr:rowOff>
    </xdr:from>
    <xdr:to>
      <xdr:col>12</xdr:col>
      <xdr:colOff>19051</xdr:colOff>
      <xdr:row>36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3B2D3E-985B-A6B8-1CBA-DDA92D9A9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11907</xdr:colOff>
      <xdr:row>22</xdr:row>
      <xdr:rowOff>35717</xdr:rowOff>
    </xdr:from>
    <xdr:to>
      <xdr:col>14</xdr:col>
      <xdr:colOff>1464468</xdr:colOff>
      <xdr:row>36</xdr:row>
      <xdr:rowOff>154780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D047D7-2247-C1CF-368E-240DAC369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Jeebraeel" refreshedDate="46184.799389120373" createdVersion="8" refreshedVersion="8" minRefreshableVersion="3" recordCount="120" xr:uid="{11823B2D-4A0A-48A3-8AAD-3A053415EABD}">
  <cacheSource type="worksheet">
    <worksheetSource ref="A1:M121" sheet="Sheet1"/>
  </cacheSource>
  <cacheFields count="13"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21" maxValue="43" count="23">
        <n v="24"/>
        <n v="31"/>
        <n v="27"/>
        <n v="35"/>
        <n v="22"/>
        <n v="29"/>
        <n v="41"/>
        <n v="26"/>
        <n v="33"/>
        <n v="30"/>
        <n v="25"/>
        <n v="38"/>
        <n v="23"/>
        <n v="36"/>
        <n v="28"/>
        <n v="21"/>
        <n v="34"/>
        <n v="40"/>
        <n v="32"/>
        <n v="37"/>
        <n v="42"/>
        <n v="39"/>
        <n v="43"/>
      </sharedItems>
    </cacheField>
    <cacheField name="Gender" numFmtId="0">
      <sharedItems/>
    </cacheField>
    <cacheField name="City" numFmtId="0">
      <sharedItems count="7">
        <s v="Delhi"/>
        <s v="Mumbai"/>
        <s v="Bangalore"/>
        <s v="Chennai"/>
        <s v="Hyderabad"/>
        <s v="Kolkata"/>
        <s v="Patna"/>
      </sharedItems>
    </cacheField>
    <cacheField name="Subscription_Type" numFmtId="0">
      <sharedItems count="3">
        <s v="Basic"/>
        <s v="Premium"/>
        <s v="Standard"/>
      </sharedItems>
    </cacheField>
    <cacheField name="Monthly_Charges" numFmtId="0">
      <sharedItems containsSemiMixedTypes="0" containsString="0" containsNumber="1" containsInteger="1" minValue="499" maxValue="1199"/>
    </cacheField>
    <cacheField name="Tenure_Months" numFmtId="0">
      <sharedItems containsSemiMixedTypes="0" containsString="0" containsNumber="1" containsInteger="1" minValue="1" maxValue="52"/>
    </cacheField>
    <cacheField name="Complaints" numFmtId="0">
      <sharedItems containsSemiMixedTypes="0" containsString="0" containsNumber="1" containsInteger="1" minValue="0" maxValue="5"/>
    </cacheField>
    <cacheField name="Support_Tickets" numFmtId="0">
      <sharedItems containsSemiMixedTypes="0" containsString="0" containsNumber="1" containsInteger="1" minValue="0" maxValue="7"/>
    </cacheField>
    <cacheField name="Churn_Status" numFmtId="0">
      <sharedItems count="2">
        <s v="Yes"/>
        <s v="No"/>
      </sharedItems>
    </cacheField>
    <cacheField name="Customer Category" numFmtId="0">
      <sharedItems count="2">
        <s v="New Customer"/>
        <s v="Loyal Customer"/>
      </sharedItems>
    </cacheField>
    <cacheField name="Churn 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001"/>
    <s v="Rahul Sharma"/>
    <x v="0"/>
    <s v="Male"/>
    <x v="0"/>
    <x v="0"/>
    <n v="499"/>
    <n v="4"/>
    <n v="4"/>
    <n v="5"/>
    <x v="0"/>
    <x v="0"/>
    <s v="High Risk"/>
  </r>
  <r>
    <s v="C002"/>
    <s v="Priya Singh"/>
    <x v="1"/>
    <s v="Female"/>
    <x v="1"/>
    <x v="1"/>
    <n v="999"/>
    <n v="28"/>
    <n v="0"/>
    <n v="1"/>
    <x v="1"/>
    <x v="1"/>
    <s v="Low Risk"/>
  </r>
  <r>
    <s v="C003"/>
    <s v="Amit Kumar"/>
    <x v="2"/>
    <s v="Male"/>
    <x v="2"/>
    <x v="2"/>
    <n v="699"/>
    <n v="8"/>
    <n v="3"/>
    <n v="4"/>
    <x v="0"/>
    <x v="0"/>
    <s v="High Risk"/>
  </r>
  <r>
    <s v="C004"/>
    <s v="Neha Gupta"/>
    <x v="3"/>
    <s v="Female"/>
    <x v="3"/>
    <x v="1"/>
    <n v="1099"/>
    <n v="36"/>
    <n v="1"/>
    <n v="1"/>
    <x v="1"/>
    <x v="1"/>
    <s v="Low Risk"/>
  </r>
  <r>
    <s v="C005"/>
    <s v="Arjun Verma"/>
    <x v="4"/>
    <s v="Male"/>
    <x v="4"/>
    <x v="0"/>
    <n v="499"/>
    <n v="3"/>
    <n v="5"/>
    <n v="6"/>
    <x v="0"/>
    <x v="0"/>
    <s v="High Risk"/>
  </r>
  <r>
    <s v="C006"/>
    <s v="Sneha Das"/>
    <x v="5"/>
    <s v="Female"/>
    <x v="5"/>
    <x v="2"/>
    <n v="799"/>
    <n v="18"/>
    <n v="1"/>
    <n v="2"/>
    <x v="1"/>
    <x v="0"/>
    <s v="Low Risk"/>
  </r>
  <r>
    <s v="C007"/>
    <s v="Vikash Yadav"/>
    <x v="6"/>
    <s v="Male"/>
    <x v="6"/>
    <x v="1"/>
    <n v="1199"/>
    <n v="42"/>
    <n v="0"/>
    <n v="0"/>
    <x v="1"/>
    <x v="1"/>
    <s v="Low Risk"/>
  </r>
  <r>
    <s v="C008"/>
    <s v="Pooja Mishra"/>
    <x v="7"/>
    <s v="Female"/>
    <x v="0"/>
    <x v="0"/>
    <n v="499"/>
    <n v="5"/>
    <n v="4"/>
    <n v="5"/>
    <x v="0"/>
    <x v="0"/>
    <s v="High Risk"/>
  </r>
  <r>
    <s v="C009"/>
    <s v="Rohan Singh"/>
    <x v="8"/>
    <s v="Male"/>
    <x v="1"/>
    <x v="2"/>
    <n v="699"/>
    <n v="20"/>
    <n v="1"/>
    <n v="2"/>
    <x v="1"/>
    <x v="0"/>
    <s v="Low Risk"/>
  </r>
  <r>
    <s v="C010"/>
    <s v="Anjali Kumari"/>
    <x v="9"/>
    <s v="Female"/>
    <x v="2"/>
    <x v="1"/>
    <n v="999"/>
    <n v="30"/>
    <n v="0"/>
    <n v="1"/>
    <x v="1"/>
    <x v="1"/>
    <s v="Low Risk"/>
  </r>
  <r>
    <s v="C011"/>
    <s v="Karan Mehta"/>
    <x v="10"/>
    <s v="Male"/>
    <x v="3"/>
    <x v="0"/>
    <n v="499"/>
    <n v="2"/>
    <n v="5"/>
    <n v="5"/>
    <x v="0"/>
    <x v="0"/>
    <s v="High Risk"/>
  </r>
  <r>
    <s v="C012"/>
    <s v="Nisha Roy"/>
    <x v="11"/>
    <s v="Female"/>
    <x v="4"/>
    <x v="1"/>
    <n v="1099"/>
    <n v="40"/>
    <n v="0"/>
    <n v="0"/>
    <x v="0"/>
    <x v="1"/>
    <s v="High Risk"/>
  </r>
  <r>
    <s v="C013"/>
    <s v="Deepak Gupta"/>
    <x v="5"/>
    <s v="Male"/>
    <x v="5"/>
    <x v="2"/>
    <n v="799"/>
    <n v="14"/>
    <n v="2"/>
    <n v="3"/>
    <x v="1"/>
    <x v="0"/>
    <s v="Low Risk"/>
  </r>
  <r>
    <s v="C014"/>
    <s v="Shreya Jain"/>
    <x v="12"/>
    <s v="Female"/>
    <x v="6"/>
    <x v="0"/>
    <n v="499"/>
    <n v="4"/>
    <n v="4"/>
    <n v="4"/>
    <x v="0"/>
    <x v="0"/>
    <s v="High Risk"/>
  </r>
  <r>
    <s v="C015"/>
    <s v="Manish Kumar"/>
    <x v="13"/>
    <s v="Male"/>
    <x v="0"/>
    <x v="1"/>
    <n v="1199"/>
    <n v="45"/>
    <n v="1"/>
    <n v="1"/>
    <x v="1"/>
    <x v="1"/>
    <s v="Low Risk"/>
  </r>
  <r>
    <s v="C016"/>
    <s v="Aditi Singh"/>
    <x v="14"/>
    <s v="Female"/>
    <x v="1"/>
    <x v="2"/>
    <n v="699"/>
    <n v="12"/>
    <n v="2"/>
    <n v="3"/>
    <x v="1"/>
    <x v="0"/>
    <s v="Low Risk"/>
  </r>
  <r>
    <s v="C017"/>
    <s v="Abhishek Raj"/>
    <x v="15"/>
    <s v="Male"/>
    <x v="2"/>
    <x v="0"/>
    <n v="499"/>
    <n v="1"/>
    <n v="5"/>
    <n v="7"/>
    <x v="0"/>
    <x v="0"/>
    <s v="High Risk"/>
  </r>
  <r>
    <s v="C018"/>
    <s v="Ritika Sharma"/>
    <x v="16"/>
    <s v="Female"/>
    <x v="3"/>
    <x v="1"/>
    <n v="999"/>
    <n v="32"/>
    <n v="0"/>
    <n v="1"/>
    <x v="1"/>
    <x v="1"/>
    <s v="Low Risk"/>
  </r>
  <r>
    <s v="C019"/>
    <s v="Saurabh Verma"/>
    <x v="17"/>
    <s v="Male"/>
    <x v="4"/>
    <x v="1"/>
    <n v="1199"/>
    <n v="48"/>
    <n v="0"/>
    <n v="0"/>
    <x v="1"/>
    <x v="1"/>
    <s v="Low Risk"/>
  </r>
  <r>
    <s v="C020"/>
    <s v="Kavya Reddy"/>
    <x v="2"/>
    <s v="Female"/>
    <x v="5"/>
    <x v="2"/>
    <n v="799"/>
    <n v="15"/>
    <n v="2"/>
    <n v="2"/>
    <x v="1"/>
    <x v="0"/>
    <s v="Low Risk"/>
  </r>
  <r>
    <s v="C021"/>
    <s v="Mohit Sinha"/>
    <x v="0"/>
    <s v="Male"/>
    <x v="6"/>
    <x v="0"/>
    <n v="499"/>
    <n v="6"/>
    <n v="4"/>
    <n v="5"/>
    <x v="0"/>
    <x v="0"/>
    <s v="High Risk"/>
  </r>
  <r>
    <s v="C022"/>
    <s v="Divya Gupta"/>
    <x v="18"/>
    <s v="Female"/>
    <x v="0"/>
    <x v="1"/>
    <n v="999"/>
    <n v="26"/>
    <n v="1"/>
    <n v="1"/>
    <x v="1"/>
    <x v="1"/>
    <s v="Low Risk"/>
  </r>
  <r>
    <s v="C023"/>
    <s v="Rohit Kumar"/>
    <x v="7"/>
    <s v="Male"/>
    <x v="1"/>
    <x v="2"/>
    <n v="699"/>
    <n v="9"/>
    <n v="3"/>
    <n v="4"/>
    <x v="0"/>
    <x v="0"/>
    <s v="High Risk"/>
  </r>
  <r>
    <s v="C024"/>
    <s v="Simran Kaur"/>
    <x v="19"/>
    <s v="Female"/>
    <x v="2"/>
    <x v="1"/>
    <n v="1099"/>
    <n v="38"/>
    <n v="0"/>
    <n v="0"/>
    <x v="1"/>
    <x v="1"/>
    <s v="Low Risk"/>
  </r>
  <r>
    <s v="C025"/>
    <s v="Akash Singh"/>
    <x v="4"/>
    <s v="Male"/>
    <x v="3"/>
    <x v="0"/>
    <n v="499"/>
    <n v="3"/>
    <n v="5"/>
    <n v="6"/>
    <x v="0"/>
    <x v="0"/>
    <s v="High Risk"/>
  </r>
  <r>
    <s v="C026"/>
    <s v="Tanya Das"/>
    <x v="9"/>
    <s v="Female"/>
    <x v="4"/>
    <x v="2"/>
    <n v="799"/>
    <n v="19"/>
    <n v="1"/>
    <n v="2"/>
    <x v="1"/>
    <x v="0"/>
    <s v="Low Risk"/>
  </r>
  <r>
    <s v="C027"/>
    <s v="Vivek Yadav"/>
    <x v="20"/>
    <s v="Male"/>
    <x v="5"/>
    <x v="1"/>
    <n v="1199"/>
    <n v="50"/>
    <n v="0"/>
    <n v="0"/>
    <x v="1"/>
    <x v="1"/>
    <s v="Low Risk"/>
  </r>
  <r>
    <s v="C028"/>
    <s v="Priti Kumari"/>
    <x v="10"/>
    <s v="Female"/>
    <x v="6"/>
    <x v="0"/>
    <n v="499"/>
    <n v="5"/>
    <n v="4"/>
    <n v="5"/>
    <x v="0"/>
    <x v="0"/>
    <s v="High Risk"/>
  </r>
  <r>
    <s v="C029"/>
    <s v="Gaurav Mehta"/>
    <x v="3"/>
    <s v="Male"/>
    <x v="0"/>
    <x v="1"/>
    <n v="999"/>
    <n v="34"/>
    <n v="1"/>
    <n v="1"/>
    <x v="1"/>
    <x v="1"/>
    <s v="Low Risk"/>
  </r>
  <r>
    <s v="C030"/>
    <s v="Meera Sharma"/>
    <x v="14"/>
    <s v="Female"/>
    <x v="1"/>
    <x v="2"/>
    <n v="699"/>
    <n v="13"/>
    <n v="2"/>
    <n v="3"/>
    <x v="1"/>
    <x v="0"/>
    <s v="Low Risk"/>
  </r>
  <r>
    <s v="C031"/>
    <s v="Nitin Kumar"/>
    <x v="12"/>
    <s v="Male"/>
    <x v="2"/>
    <x v="0"/>
    <n v="499"/>
    <n v="2"/>
    <n v="5"/>
    <n v="6"/>
    <x v="0"/>
    <x v="0"/>
    <s v="High Risk"/>
  </r>
  <r>
    <s v="C032"/>
    <s v="Riya Verma"/>
    <x v="8"/>
    <s v="Female"/>
    <x v="3"/>
    <x v="1"/>
    <n v="1099"/>
    <n v="35"/>
    <n v="0"/>
    <n v="1"/>
    <x v="1"/>
    <x v="1"/>
    <s v="Low Risk"/>
  </r>
  <r>
    <s v="C033"/>
    <s v="Sunil Raj"/>
    <x v="21"/>
    <s v="Male"/>
    <x v="4"/>
    <x v="1"/>
    <n v="1199"/>
    <n v="44"/>
    <n v="0"/>
    <n v="0"/>
    <x v="0"/>
    <x v="1"/>
    <s v="High Risk"/>
  </r>
  <r>
    <s v="C034"/>
    <s v="Komal Singh"/>
    <x v="5"/>
    <s v="Female"/>
    <x v="5"/>
    <x v="2"/>
    <n v="799"/>
    <n v="16"/>
    <n v="2"/>
    <n v="2"/>
    <x v="1"/>
    <x v="0"/>
    <s v="Low Risk"/>
  </r>
  <r>
    <s v="C035"/>
    <s v="Ajay Gupta"/>
    <x v="0"/>
    <s v="Male"/>
    <x v="6"/>
    <x v="0"/>
    <n v="499"/>
    <n v="4"/>
    <n v="4"/>
    <n v="5"/>
    <x v="0"/>
    <x v="0"/>
    <s v="High Risk"/>
  </r>
  <r>
    <s v="C036"/>
    <s v="Neetu Kumari"/>
    <x v="1"/>
    <s v="Female"/>
    <x v="0"/>
    <x v="1"/>
    <n v="999"/>
    <n v="27"/>
    <n v="1"/>
    <n v="1"/>
    <x v="1"/>
    <x v="1"/>
    <s v="Low Risk"/>
  </r>
  <r>
    <s v="C037"/>
    <s v="Rajesh Kumar"/>
    <x v="2"/>
    <s v="Male"/>
    <x v="1"/>
    <x v="2"/>
    <n v="699"/>
    <n v="10"/>
    <n v="3"/>
    <n v="4"/>
    <x v="0"/>
    <x v="0"/>
    <s v="High Risk"/>
  </r>
  <r>
    <s v="C038"/>
    <s v="Payal Sharma"/>
    <x v="13"/>
    <s v="Female"/>
    <x v="2"/>
    <x v="1"/>
    <n v="1099"/>
    <n v="37"/>
    <n v="0"/>
    <n v="0"/>
    <x v="1"/>
    <x v="1"/>
    <s v="Low Risk"/>
  </r>
  <r>
    <s v="C039"/>
    <s v="Ankit Verma"/>
    <x v="4"/>
    <s v="Male"/>
    <x v="3"/>
    <x v="0"/>
    <n v="499"/>
    <n v="3"/>
    <n v="5"/>
    <n v="6"/>
    <x v="0"/>
    <x v="0"/>
    <s v="High Risk"/>
  </r>
  <r>
    <s v="C040"/>
    <s v="Swati Das"/>
    <x v="9"/>
    <s v="Female"/>
    <x v="4"/>
    <x v="2"/>
    <n v="799"/>
    <n v="17"/>
    <n v="1"/>
    <n v="2"/>
    <x v="1"/>
    <x v="0"/>
    <s v="Low Risk"/>
  </r>
  <r>
    <s v="C041"/>
    <s v="Imran Ali"/>
    <x v="7"/>
    <s v="Male"/>
    <x v="0"/>
    <x v="0"/>
    <n v="499"/>
    <n v="5"/>
    <n v="4"/>
    <n v="5"/>
    <x v="0"/>
    <x v="0"/>
    <s v="High Risk"/>
  </r>
  <r>
    <s v="C042"/>
    <s v="Sonia Gupta"/>
    <x v="16"/>
    <s v="Female"/>
    <x v="1"/>
    <x v="1"/>
    <n v="1099"/>
    <n v="39"/>
    <n v="0"/>
    <n v="1"/>
    <x v="1"/>
    <x v="1"/>
    <s v="Low Risk"/>
  </r>
  <r>
    <s v="C043"/>
    <s v="Ravi Kumar"/>
    <x v="14"/>
    <s v="Male"/>
    <x v="2"/>
    <x v="2"/>
    <n v="799"/>
    <n v="11"/>
    <n v="3"/>
    <n v="4"/>
    <x v="0"/>
    <x v="0"/>
    <s v="High Risk"/>
  </r>
  <r>
    <s v="C044"/>
    <s v="Poonam Singh"/>
    <x v="19"/>
    <s v="Female"/>
    <x v="3"/>
    <x v="1"/>
    <n v="999"/>
    <n v="33"/>
    <n v="0"/>
    <n v="1"/>
    <x v="1"/>
    <x v="1"/>
    <s v="Low Risk"/>
  </r>
  <r>
    <s v="C045"/>
    <s v="Faizan Khan"/>
    <x v="12"/>
    <s v="Male"/>
    <x v="4"/>
    <x v="0"/>
    <n v="499"/>
    <n v="2"/>
    <n v="5"/>
    <n v="6"/>
    <x v="0"/>
    <x v="0"/>
    <s v="High Risk"/>
  </r>
  <r>
    <s v="C046"/>
    <s v="Jyoti Kumari"/>
    <x v="1"/>
    <s v="Female"/>
    <x v="5"/>
    <x v="2"/>
    <n v="699"/>
    <n v="18"/>
    <n v="1"/>
    <n v="2"/>
    <x v="1"/>
    <x v="0"/>
    <s v="Low Risk"/>
  </r>
  <r>
    <s v="C047"/>
    <s v="Ashish Verma"/>
    <x v="17"/>
    <s v="Male"/>
    <x v="6"/>
    <x v="1"/>
    <n v="1199"/>
    <n v="46"/>
    <n v="0"/>
    <n v="0"/>
    <x v="1"/>
    <x v="1"/>
    <s v="Low Risk"/>
  </r>
  <r>
    <s v="C048"/>
    <s v="Nidhi Sharma"/>
    <x v="10"/>
    <s v="Female"/>
    <x v="0"/>
    <x v="0"/>
    <n v="499"/>
    <n v="4"/>
    <n v="4"/>
    <n v="5"/>
    <x v="0"/>
    <x v="0"/>
    <s v="High Risk"/>
  </r>
  <r>
    <s v="C049"/>
    <s v="Harsh Raj"/>
    <x v="18"/>
    <s v="Male"/>
    <x v="1"/>
    <x v="2"/>
    <n v="799"/>
    <n v="15"/>
    <n v="2"/>
    <n v="3"/>
    <x v="1"/>
    <x v="0"/>
    <s v="Low Risk"/>
  </r>
  <r>
    <s v="C050"/>
    <s v="Muskan Gupta"/>
    <x v="5"/>
    <s v="Female"/>
    <x v="2"/>
    <x v="1"/>
    <n v="999"/>
    <n v="29"/>
    <n v="0"/>
    <n v="1"/>
    <x v="1"/>
    <x v="1"/>
    <s v="Low Risk"/>
  </r>
  <r>
    <s v="C051"/>
    <s v="Danish Alam"/>
    <x v="4"/>
    <s v="Male"/>
    <x v="3"/>
    <x v="0"/>
    <n v="499"/>
    <n v="3"/>
    <n v="5"/>
    <n v="6"/>
    <x v="0"/>
    <x v="0"/>
    <s v="High Risk"/>
  </r>
  <r>
    <s v="C052"/>
    <s v="Priyanka Das"/>
    <x v="13"/>
    <s v="Female"/>
    <x v="4"/>
    <x v="1"/>
    <n v="1099"/>
    <n v="41"/>
    <n v="0"/>
    <n v="0"/>
    <x v="1"/>
    <x v="1"/>
    <s v="Low Risk"/>
  </r>
  <r>
    <s v="C053"/>
    <s v="Vivek Sharma"/>
    <x v="9"/>
    <s v="Male"/>
    <x v="5"/>
    <x v="2"/>
    <n v="699"/>
    <n v="13"/>
    <n v="2"/>
    <n v="3"/>
    <x v="1"/>
    <x v="0"/>
    <s v="Low Risk"/>
  </r>
  <r>
    <s v="C054"/>
    <s v="Ritu Singh"/>
    <x v="0"/>
    <s v="Female"/>
    <x v="6"/>
    <x v="0"/>
    <n v="499"/>
    <n v="4"/>
    <n v="4"/>
    <n v="4"/>
    <x v="0"/>
    <x v="0"/>
    <s v="High Risk"/>
  </r>
  <r>
    <s v="C055"/>
    <s v="Aditya Kumar"/>
    <x v="11"/>
    <s v="Male"/>
    <x v="0"/>
    <x v="1"/>
    <n v="1199"/>
    <n v="47"/>
    <n v="0"/>
    <n v="1"/>
    <x v="0"/>
    <x v="1"/>
    <s v="High Risk"/>
  </r>
  <r>
    <s v="C056"/>
    <s v="Shalini Roy"/>
    <x v="2"/>
    <s v="Female"/>
    <x v="1"/>
    <x v="2"/>
    <n v="799"/>
    <n v="16"/>
    <n v="1"/>
    <n v="2"/>
    <x v="1"/>
    <x v="0"/>
    <s v="Low Risk"/>
  </r>
  <r>
    <s v="C057"/>
    <s v="Rohit Ali"/>
    <x v="15"/>
    <s v="Male"/>
    <x v="2"/>
    <x v="0"/>
    <n v="499"/>
    <n v="1"/>
    <n v="5"/>
    <n v="7"/>
    <x v="0"/>
    <x v="0"/>
    <s v="High Risk"/>
  </r>
  <r>
    <s v="C058"/>
    <s v="Anu Verma"/>
    <x v="3"/>
    <s v="Female"/>
    <x v="3"/>
    <x v="1"/>
    <n v="999"/>
    <n v="34"/>
    <n v="0"/>
    <n v="1"/>
    <x v="1"/>
    <x v="1"/>
    <s v="Low Risk"/>
  </r>
  <r>
    <s v="C059"/>
    <s v="Manav Singh"/>
    <x v="6"/>
    <s v="Male"/>
    <x v="4"/>
    <x v="1"/>
    <n v="1199"/>
    <n v="49"/>
    <n v="0"/>
    <n v="0"/>
    <x v="1"/>
    <x v="1"/>
    <s v="Low Risk"/>
  </r>
  <r>
    <s v="C060"/>
    <s v="Priti Sharma"/>
    <x v="14"/>
    <s v="Female"/>
    <x v="5"/>
    <x v="2"/>
    <n v="699"/>
    <n v="17"/>
    <n v="2"/>
    <n v="2"/>
    <x v="1"/>
    <x v="0"/>
    <s v="Low Risk"/>
  </r>
  <r>
    <s v="C061"/>
    <s v="Arif Khan"/>
    <x v="10"/>
    <s v="Male"/>
    <x v="6"/>
    <x v="0"/>
    <n v="499"/>
    <n v="5"/>
    <n v="4"/>
    <n v="5"/>
    <x v="0"/>
    <x v="0"/>
    <s v="High Risk"/>
  </r>
  <r>
    <s v="C062"/>
    <s v="Kajal Gupta"/>
    <x v="8"/>
    <s v="Female"/>
    <x v="0"/>
    <x v="1"/>
    <n v="999"/>
    <n v="31"/>
    <n v="1"/>
    <n v="1"/>
    <x v="1"/>
    <x v="1"/>
    <s v="Low Risk"/>
  </r>
  <r>
    <s v="C063"/>
    <s v="Aman Kumar"/>
    <x v="2"/>
    <s v="Male"/>
    <x v="1"/>
    <x v="2"/>
    <n v="799"/>
    <n v="10"/>
    <n v="3"/>
    <n v="4"/>
    <x v="0"/>
    <x v="0"/>
    <s v="High Risk"/>
  </r>
  <r>
    <s v="C064"/>
    <s v="Sakshi Singh"/>
    <x v="21"/>
    <s v="Female"/>
    <x v="2"/>
    <x v="1"/>
    <n v="1099"/>
    <n v="42"/>
    <n v="0"/>
    <n v="0"/>
    <x v="1"/>
    <x v="1"/>
    <s v="Low Risk"/>
  </r>
  <r>
    <s v="C065"/>
    <s v="Rehan Ali"/>
    <x v="4"/>
    <s v="Male"/>
    <x v="3"/>
    <x v="0"/>
    <n v="499"/>
    <n v="2"/>
    <n v="5"/>
    <n v="6"/>
    <x v="0"/>
    <x v="0"/>
    <s v="High Risk"/>
  </r>
  <r>
    <s v="C066"/>
    <s v="Monika Roy"/>
    <x v="9"/>
    <s v="Female"/>
    <x v="4"/>
    <x v="2"/>
    <n v="699"/>
    <n v="19"/>
    <n v="1"/>
    <n v="2"/>
    <x v="1"/>
    <x v="0"/>
    <s v="Low Risk"/>
  </r>
  <r>
    <s v="C067"/>
    <s v="Pankaj Verma"/>
    <x v="22"/>
    <s v="Male"/>
    <x v="5"/>
    <x v="1"/>
    <n v="1199"/>
    <n v="52"/>
    <n v="0"/>
    <n v="0"/>
    <x v="1"/>
    <x v="1"/>
    <s v="Low Risk"/>
  </r>
  <r>
    <s v="C068"/>
    <s v="Nisha Gupta"/>
    <x v="7"/>
    <s v="Female"/>
    <x v="6"/>
    <x v="0"/>
    <n v="499"/>
    <n v="6"/>
    <n v="4"/>
    <n v="5"/>
    <x v="0"/>
    <x v="0"/>
    <s v="High Risk"/>
  </r>
  <r>
    <s v="C069"/>
    <s v="Deepak Kumar"/>
    <x v="16"/>
    <s v="Male"/>
    <x v="0"/>
    <x v="1"/>
    <n v="999"/>
    <n v="36"/>
    <n v="1"/>
    <n v="1"/>
    <x v="1"/>
    <x v="1"/>
    <s v="Low Risk"/>
  </r>
  <r>
    <s v="C070"/>
    <s v="Aarti Sharma"/>
    <x v="5"/>
    <s v="Female"/>
    <x v="1"/>
    <x v="2"/>
    <n v="799"/>
    <n v="14"/>
    <n v="2"/>
    <n v="3"/>
    <x v="1"/>
    <x v="0"/>
    <s v="Low Risk"/>
  </r>
  <r>
    <s v="C071"/>
    <s v="Shahid Khan"/>
    <x v="12"/>
    <s v="Male"/>
    <x v="2"/>
    <x v="0"/>
    <n v="499"/>
    <n v="3"/>
    <n v="5"/>
    <n v="6"/>
    <x v="0"/>
    <x v="0"/>
    <s v="High Risk"/>
  </r>
  <r>
    <s v="C072"/>
    <s v="Radhika Singh"/>
    <x v="19"/>
    <s v="Female"/>
    <x v="3"/>
    <x v="1"/>
    <n v="1099"/>
    <n v="40"/>
    <n v="0"/>
    <n v="1"/>
    <x v="1"/>
    <x v="1"/>
    <s v="Low Risk"/>
  </r>
  <r>
    <s v="C073"/>
    <s v="Nitin Gupta"/>
    <x v="17"/>
    <s v="Male"/>
    <x v="4"/>
    <x v="1"/>
    <n v="1199"/>
    <n v="48"/>
    <n v="0"/>
    <n v="0"/>
    <x v="1"/>
    <x v="1"/>
    <s v="Low Risk"/>
  </r>
  <r>
    <s v="C074"/>
    <s v="Pooja Kumari"/>
    <x v="14"/>
    <s v="Female"/>
    <x v="5"/>
    <x v="2"/>
    <n v="699"/>
    <n v="18"/>
    <n v="2"/>
    <n v="2"/>
    <x v="1"/>
    <x v="0"/>
    <s v="Low Risk"/>
  </r>
  <r>
    <s v="C075"/>
    <s v="Akhtar Ali"/>
    <x v="0"/>
    <s v="Male"/>
    <x v="6"/>
    <x v="0"/>
    <n v="499"/>
    <n v="4"/>
    <n v="4"/>
    <n v="5"/>
    <x v="0"/>
    <x v="0"/>
    <s v="High Risk"/>
  </r>
  <r>
    <s v="C076"/>
    <s v="Komal Sharma"/>
    <x v="18"/>
    <s v="Female"/>
    <x v="0"/>
    <x v="1"/>
    <n v="999"/>
    <n v="30"/>
    <n v="1"/>
    <n v="1"/>
    <x v="1"/>
    <x v="1"/>
    <s v="Low Risk"/>
  </r>
  <r>
    <s v="C077"/>
    <s v="Sandeep Kumar"/>
    <x v="7"/>
    <s v="Male"/>
    <x v="1"/>
    <x v="2"/>
    <n v="799"/>
    <n v="9"/>
    <n v="3"/>
    <n v="4"/>
    <x v="0"/>
    <x v="0"/>
    <s v="High Risk"/>
  </r>
  <r>
    <s v="C078"/>
    <s v="Meenal Roy"/>
    <x v="11"/>
    <s v="Female"/>
    <x v="2"/>
    <x v="1"/>
    <n v="1099"/>
    <n v="43"/>
    <n v="0"/>
    <n v="0"/>
    <x v="1"/>
    <x v="1"/>
    <s v="Low Risk"/>
  </r>
  <r>
    <s v="C079"/>
    <s v="Salman Khan"/>
    <x v="4"/>
    <s v="Male"/>
    <x v="3"/>
    <x v="0"/>
    <n v="499"/>
    <n v="2"/>
    <n v="5"/>
    <n v="6"/>
    <x v="0"/>
    <x v="0"/>
    <s v="High Risk"/>
  </r>
  <r>
    <s v="C080"/>
    <s v="Ruchi Gupta"/>
    <x v="1"/>
    <s v="Female"/>
    <x v="4"/>
    <x v="2"/>
    <n v="699"/>
    <n v="20"/>
    <n v="1"/>
    <n v="2"/>
    <x v="1"/>
    <x v="0"/>
    <s v="Low Risk"/>
  </r>
  <r>
    <s v="C081"/>
    <s v="Armaan Khan"/>
    <x v="10"/>
    <s v="Male"/>
    <x v="0"/>
    <x v="0"/>
    <n v="499"/>
    <n v="4"/>
    <n v="4"/>
    <n v="5"/>
    <x v="0"/>
    <x v="0"/>
    <s v="High Risk"/>
  </r>
  <r>
    <s v="C082"/>
    <s v="Pooja Verma"/>
    <x v="3"/>
    <s v="Female"/>
    <x v="1"/>
    <x v="1"/>
    <n v="1099"/>
    <n v="38"/>
    <n v="0"/>
    <n v="1"/>
    <x v="1"/>
    <x v="1"/>
    <s v="Low Risk"/>
  </r>
  <r>
    <s v="C083"/>
    <s v="Kunal Singh"/>
    <x v="5"/>
    <s v="Male"/>
    <x v="2"/>
    <x v="2"/>
    <n v="799"/>
    <n v="12"/>
    <n v="3"/>
    <n v="4"/>
    <x v="0"/>
    <x v="0"/>
    <s v="High Risk"/>
  </r>
  <r>
    <s v="C084"/>
    <s v="Riya Sharma"/>
    <x v="13"/>
    <s v="Female"/>
    <x v="3"/>
    <x v="1"/>
    <n v="999"/>
    <n v="34"/>
    <n v="0"/>
    <n v="1"/>
    <x v="1"/>
    <x v="1"/>
    <s v="Low Risk"/>
  </r>
  <r>
    <s v="C085"/>
    <s v="Sameer Ali"/>
    <x v="12"/>
    <s v="Male"/>
    <x v="4"/>
    <x v="0"/>
    <n v="499"/>
    <n v="2"/>
    <n v="5"/>
    <n v="6"/>
    <x v="0"/>
    <x v="0"/>
    <s v="High Risk"/>
  </r>
  <r>
    <s v="C086"/>
    <s v="Neha Roy"/>
    <x v="9"/>
    <s v="Female"/>
    <x v="5"/>
    <x v="2"/>
    <n v="699"/>
    <n v="17"/>
    <n v="1"/>
    <n v="2"/>
    <x v="1"/>
    <x v="0"/>
    <s v="Low Risk"/>
  </r>
  <r>
    <s v="C087"/>
    <s v="Mohit Gupta"/>
    <x v="20"/>
    <s v="Male"/>
    <x v="6"/>
    <x v="1"/>
    <n v="1199"/>
    <n v="50"/>
    <n v="0"/>
    <n v="0"/>
    <x v="1"/>
    <x v="1"/>
    <s v="Low Risk"/>
  </r>
  <r>
    <s v="C088"/>
    <s v="Ayesha Khan"/>
    <x v="7"/>
    <s v="Female"/>
    <x v="0"/>
    <x v="0"/>
    <n v="499"/>
    <n v="5"/>
    <n v="4"/>
    <n v="5"/>
    <x v="0"/>
    <x v="0"/>
    <s v="High Risk"/>
  </r>
  <r>
    <s v="C089"/>
    <s v="Vikas Kumar"/>
    <x v="8"/>
    <s v="Male"/>
    <x v="1"/>
    <x v="2"/>
    <n v="799"/>
    <n v="16"/>
    <n v="2"/>
    <n v="3"/>
    <x v="1"/>
    <x v="0"/>
    <s v="Low Risk"/>
  </r>
  <r>
    <s v="C090"/>
    <s v="Simran Gupta"/>
    <x v="14"/>
    <s v="Female"/>
    <x v="2"/>
    <x v="1"/>
    <n v="999"/>
    <n v="28"/>
    <n v="0"/>
    <n v="1"/>
    <x v="1"/>
    <x v="1"/>
    <s v="Low Risk"/>
  </r>
  <r>
    <s v="C091"/>
    <s v="Nadeem Ali"/>
    <x v="4"/>
    <s v="Male"/>
    <x v="3"/>
    <x v="0"/>
    <n v="499"/>
    <n v="1"/>
    <n v="5"/>
    <n v="7"/>
    <x v="0"/>
    <x v="0"/>
    <s v="High Risk"/>
  </r>
  <r>
    <s v="C092"/>
    <s v="Priya Roy"/>
    <x v="19"/>
    <s v="Female"/>
    <x v="4"/>
    <x v="1"/>
    <n v="1099"/>
    <n v="41"/>
    <n v="0"/>
    <n v="0"/>
    <x v="1"/>
    <x v="1"/>
    <s v="Low Risk"/>
  </r>
  <r>
    <s v="C093"/>
    <s v="Rahul Verma"/>
    <x v="1"/>
    <s v="Male"/>
    <x v="5"/>
    <x v="2"/>
    <n v="699"/>
    <n v="14"/>
    <n v="2"/>
    <n v="3"/>
    <x v="1"/>
    <x v="0"/>
    <s v="Low Risk"/>
  </r>
  <r>
    <s v="C094"/>
    <s v="Kavita Singh"/>
    <x v="0"/>
    <s v="Female"/>
    <x v="6"/>
    <x v="0"/>
    <n v="499"/>
    <n v="3"/>
    <n v="4"/>
    <n v="4"/>
    <x v="0"/>
    <x v="0"/>
    <s v="High Risk"/>
  </r>
  <r>
    <s v="C095"/>
    <s v="Adarsh Kumar"/>
    <x v="21"/>
    <s v="Male"/>
    <x v="0"/>
    <x v="1"/>
    <n v="1199"/>
    <n v="46"/>
    <n v="0"/>
    <n v="1"/>
    <x v="0"/>
    <x v="1"/>
    <s v="High Risk"/>
  </r>
  <r>
    <s v="C096"/>
    <s v="Swati Gupta"/>
    <x v="2"/>
    <s v="Female"/>
    <x v="1"/>
    <x v="2"/>
    <n v="799"/>
    <n v="18"/>
    <n v="1"/>
    <n v="2"/>
    <x v="1"/>
    <x v="0"/>
    <s v="Low Risk"/>
  </r>
  <r>
    <s v="C097"/>
    <s v="Imran Khan"/>
    <x v="15"/>
    <s v="Male"/>
    <x v="2"/>
    <x v="0"/>
    <n v="499"/>
    <n v="2"/>
    <n v="5"/>
    <n v="6"/>
    <x v="0"/>
    <x v="0"/>
    <s v="High Risk"/>
  </r>
  <r>
    <s v="C098"/>
    <s v="Nisha Sharma"/>
    <x v="16"/>
    <s v="Female"/>
    <x v="3"/>
    <x v="1"/>
    <n v="999"/>
    <n v="35"/>
    <n v="0"/>
    <n v="1"/>
    <x v="0"/>
    <x v="1"/>
    <s v="High Risk"/>
  </r>
  <r>
    <s v="C099"/>
    <s v="Manish Verma"/>
    <x v="6"/>
    <s v="Male"/>
    <x v="4"/>
    <x v="1"/>
    <n v="1199"/>
    <n v="48"/>
    <n v="0"/>
    <n v="0"/>
    <x v="1"/>
    <x v="1"/>
    <s v="Low Risk"/>
  </r>
  <r>
    <s v="C100"/>
    <s v="Komal Roy"/>
    <x v="5"/>
    <s v="Female"/>
    <x v="5"/>
    <x v="2"/>
    <n v="699"/>
    <n v="19"/>
    <n v="2"/>
    <n v="2"/>
    <x v="1"/>
    <x v="0"/>
    <s v="Low Risk"/>
  </r>
  <r>
    <s v="C101"/>
    <s v="Faisal Khan"/>
    <x v="0"/>
    <s v="Male"/>
    <x v="6"/>
    <x v="0"/>
    <n v="499"/>
    <n v="4"/>
    <n v="4"/>
    <n v="5"/>
    <x v="0"/>
    <x v="0"/>
    <s v="High Risk"/>
  </r>
  <r>
    <s v="C102"/>
    <s v="Anjali Gupta"/>
    <x v="18"/>
    <s v="Female"/>
    <x v="0"/>
    <x v="1"/>
    <n v="999"/>
    <n v="30"/>
    <n v="1"/>
    <n v="1"/>
    <x v="1"/>
    <x v="1"/>
    <s v="Low Risk"/>
  </r>
  <r>
    <s v="C103"/>
    <s v="Raj Kumar"/>
    <x v="2"/>
    <s v="Male"/>
    <x v="1"/>
    <x v="2"/>
    <n v="799"/>
    <n v="10"/>
    <n v="3"/>
    <n v="4"/>
    <x v="0"/>
    <x v="0"/>
    <s v="High Risk"/>
  </r>
  <r>
    <s v="C104"/>
    <s v="Priti Singh"/>
    <x v="11"/>
    <s v="Female"/>
    <x v="2"/>
    <x v="1"/>
    <n v="1099"/>
    <n v="42"/>
    <n v="0"/>
    <n v="0"/>
    <x v="1"/>
    <x v="1"/>
    <s v="Low Risk"/>
  </r>
  <r>
    <s v="C105"/>
    <s v="Salman Ali"/>
    <x v="4"/>
    <s v="Male"/>
    <x v="3"/>
    <x v="0"/>
    <n v="499"/>
    <n v="2"/>
    <n v="5"/>
    <n v="6"/>
    <x v="0"/>
    <x v="0"/>
    <s v="High Risk"/>
  </r>
  <r>
    <s v="C106"/>
    <s v="Meena Sharma"/>
    <x v="9"/>
    <s v="Female"/>
    <x v="4"/>
    <x v="2"/>
    <n v="699"/>
    <n v="20"/>
    <n v="1"/>
    <n v="2"/>
    <x v="1"/>
    <x v="0"/>
    <s v="Low Risk"/>
  </r>
  <r>
    <s v="C107"/>
    <s v="Ajay Verma"/>
    <x v="22"/>
    <s v="Male"/>
    <x v="5"/>
    <x v="1"/>
    <n v="1199"/>
    <n v="52"/>
    <n v="0"/>
    <n v="0"/>
    <x v="1"/>
    <x v="1"/>
    <s v="Low Risk"/>
  </r>
  <r>
    <s v="C108"/>
    <s v="Sonia Roy"/>
    <x v="10"/>
    <s v="Female"/>
    <x v="6"/>
    <x v="0"/>
    <n v="499"/>
    <n v="5"/>
    <n v="4"/>
    <n v="5"/>
    <x v="0"/>
    <x v="0"/>
    <s v="High Risk"/>
  </r>
  <r>
    <s v="C109"/>
    <s v="Deepak Singh"/>
    <x v="3"/>
    <s v="Male"/>
    <x v="0"/>
    <x v="1"/>
    <n v="999"/>
    <n v="37"/>
    <n v="1"/>
    <n v="1"/>
    <x v="1"/>
    <x v="1"/>
    <s v="Low Risk"/>
  </r>
  <r>
    <s v="C110"/>
    <s v="Ritu Gupta"/>
    <x v="14"/>
    <s v="Female"/>
    <x v="1"/>
    <x v="2"/>
    <n v="799"/>
    <n v="15"/>
    <n v="2"/>
    <n v="3"/>
    <x v="1"/>
    <x v="0"/>
    <s v="Low Risk"/>
  </r>
  <r>
    <s v="C111"/>
    <s v="Arif Khan"/>
    <x v="12"/>
    <s v="Male"/>
    <x v="2"/>
    <x v="0"/>
    <n v="499"/>
    <n v="3"/>
    <n v="5"/>
    <n v="6"/>
    <x v="0"/>
    <x v="0"/>
    <s v="High Risk"/>
  </r>
  <r>
    <s v="C112"/>
    <s v="Shreya Sharma"/>
    <x v="13"/>
    <s v="Female"/>
    <x v="3"/>
    <x v="1"/>
    <n v="1099"/>
    <n v="40"/>
    <n v="0"/>
    <n v="1"/>
    <x v="0"/>
    <x v="1"/>
    <s v="High Risk"/>
  </r>
  <r>
    <s v="C113"/>
    <s v="Vivek Kumar"/>
    <x v="17"/>
    <s v="Male"/>
    <x v="4"/>
    <x v="1"/>
    <n v="1199"/>
    <n v="49"/>
    <n v="0"/>
    <n v="0"/>
    <x v="1"/>
    <x v="1"/>
    <s v="Low Risk"/>
  </r>
  <r>
    <s v="C114"/>
    <s v="Poonam Roy"/>
    <x v="2"/>
    <s v="Female"/>
    <x v="5"/>
    <x v="2"/>
    <n v="699"/>
    <n v="18"/>
    <n v="2"/>
    <n v="2"/>
    <x v="1"/>
    <x v="0"/>
    <s v="Low Risk"/>
  </r>
  <r>
    <s v="C115"/>
    <s v="Shahid Ali"/>
    <x v="0"/>
    <s v="Male"/>
    <x v="6"/>
    <x v="0"/>
    <n v="499"/>
    <n v="4"/>
    <n v="4"/>
    <n v="5"/>
    <x v="0"/>
    <x v="0"/>
    <s v="High Risk"/>
  </r>
  <r>
    <s v="C116"/>
    <s v="Aditi Gupta"/>
    <x v="1"/>
    <s v="Female"/>
    <x v="0"/>
    <x v="1"/>
    <n v="999"/>
    <n v="31"/>
    <n v="1"/>
    <n v="1"/>
    <x v="1"/>
    <x v="1"/>
    <s v="Low Risk"/>
  </r>
  <r>
    <s v="C117"/>
    <s v="Rohit Verma"/>
    <x v="7"/>
    <s v="Male"/>
    <x v="1"/>
    <x v="2"/>
    <n v="799"/>
    <n v="11"/>
    <n v="3"/>
    <n v="4"/>
    <x v="0"/>
    <x v="0"/>
    <s v="High Risk"/>
  </r>
  <r>
    <s v="C118"/>
    <s v="Neetu Sharma"/>
    <x v="19"/>
    <s v="Female"/>
    <x v="2"/>
    <x v="1"/>
    <n v="1099"/>
    <n v="43"/>
    <n v="0"/>
    <n v="0"/>
    <x v="1"/>
    <x v="1"/>
    <s v="Low Risk"/>
  </r>
  <r>
    <s v="C119"/>
    <s v="Akash Khan"/>
    <x v="4"/>
    <s v="Male"/>
    <x v="3"/>
    <x v="0"/>
    <n v="499"/>
    <n v="2"/>
    <n v="5"/>
    <n v="6"/>
    <x v="0"/>
    <x v="0"/>
    <s v="High Risk"/>
  </r>
  <r>
    <s v="C120"/>
    <s v="Jyoti Roy"/>
    <x v="9"/>
    <s v="Female"/>
    <x v="4"/>
    <x v="2"/>
    <n v="699"/>
    <n v="21"/>
    <n v="1"/>
    <n v="2"/>
    <x v="1"/>
    <x v="0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81D-D882-47E1-9F08-4BFF375456F3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2:O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Complaints" fld="8" baseField="0" baseItem="0"/>
  </dataFields>
  <formats count="6">
    <format dxfId="76">
      <pivotArea type="all" dataOnly="0" outline="0" fieldPosition="0"/>
    </format>
    <format dxfId="69">
      <pivotArea outline="0" collapsedLevelsAreSubtotals="1" fieldPosition="0"/>
    </format>
    <format dxfId="68">
      <pivotArea field="10" type="button" dataOnly="0" labelOnly="1" outline="0" axis="axisRow" fieldPosition="0"/>
    </format>
    <format dxfId="67">
      <pivotArea dataOnly="0" labelOnly="1" fieldPosition="0">
        <references count="1">
          <reference field="10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BFF4E-6F4E-422B-B38E-D8409D4672A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 Category">
  <location ref="K12:L15" firstHeaderRow="1" firstDataRow="1" firstDataCol="1"/>
  <pivotFields count="13"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63">
      <pivotArea type="all" dataOnly="0" outline="0" fieldPosition="0"/>
    </format>
    <format dxfId="56">
      <pivotArea outline="0" collapsedLevelsAreSubtotals="1" fieldPosition="0"/>
    </format>
    <format dxfId="55">
      <pivotArea field="11" type="button" dataOnly="0" labelOnly="1" outline="0" axis="axisRow" fieldPosition="0"/>
    </format>
    <format dxfId="54">
      <pivotArea dataOnly="0" labelOnly="1" fieldPosition="0">
        <references count="1">
          <reference field="11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8A9D8-6C40-4DD9-97B5-15E5F81C29D1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 ">
  <location ref="H14:I21" firstHeaderRow="1" firstDataRow="1" firstDataCol="1" rowPageCount="1" colPageCount="1"/>
  <pivotFields count="13">
    <pivotField dataField="1" showAll="0"/>
    <pivotField showAll="0"/>
    <pivotField showAll="0"/>
    <pivotField showAll="0"/>
    <pivotField axis="axisRow"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10" hier="-1"/>
  </pageFields>
  <dataFields count="1">
    <dataField name="Count of Customer_ID" fld="0" subtotal="count" baseField="0" baseItem="0"/>
  </dataFields>
  <formats count="6">
    <format dxfId="50">
      <pivotArea type="all" dataOnly="0" outline="0" fieldPosition="0"/>
    </format>
    <format dxfId="43">
      <pivotArea outline="0" collapsedLevelsAreSubtotals="1" fieldPosition="0"/>
    </format>
    <format dxfId="42">
      <pivotArea field="4" type="button" dataOnly="0" labelOnly="1" outline="0" axis="axisRow" fieldPosition="0"/>
    </format>
    <format dxfId="41">
      <pivotArea dataOnly="0" labelOnly="1" fieldPosition="0">
        <references count="1">
          <reference field="4" count="6">
            <x v="0"/>
            <x v="1"/>
            <x v="2"/>
            <x v="3"/>
            <x v="5"/>
            <x v="6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D8C17-36DE-4EEC-9C03-4A0ED4CEEC9F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scription Type">
  <location ref="E14:F18" firstHeaderRow="1" firstDataRow="1" firstDataCol="1" rowPageCount="1" colPageCount="1"/>
  <pivotFields count="13"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Churn Count" fld="0" subtotal="count" baseField="5" baseItem="0"/>
  </dataFields>
  <formats count="6">
    <format dxfId="37">
      <pivotArea type="all" dataOnly="0" outline="0" fieldPosition="0"/>
    </format>
    <format dxfId="30">
      <pivotArea outline="0" collapsedLevelsAreSubtotals="1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A7EB4-2AFE-4EE1-84E6-BBADE8C3C2F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hurn Status">
  <location ref="B12:C15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24">
      <pivotArea type="all" dataOnly="0" outline="0" fieldPosition="0"/>
    </format>
    <format dxfId="17">
      <pivotArea outline="0" collapsedLevelsAreSubtotals="1" fieldPosition="0"/>
    </format>
    <format dxfId="16">
      <pivotArea field="10" type="button" dataOnly="0" labelOnly="1" outline="0" axis="axisRow" fieldPosition="0"/>
    </format>
    <format dxfId="15">
      <pivotArea dataOnly="0" labelOnly="1" fieldPosition="0">
        <references count="1">
          <reference field="1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9321-F1C9-4D1F-9ABB-AF63EC74F8AC}">
  <dimension ref="A1:M121"/>
  <sheetViews>
    <sheetView topLeftCell="B1" workbookViewId="0">
      <selection activeCell="O6" sqref="O6"/>
    </sheetView>
  </sheetViews>
  <sheetFormatPr defaultRowHeight="15" x14ac:dyDescent="0.25"/>
  <cols>
    <col min="1" max="1" width="14.7109375" style="1" customWidth="1"/>
    <col min="2" max="2" width="18.85546875" customWidth="1"/>
    <col min="3" max="3" width="8" style="1" customWidth="1"/>
    <col min="4" max="4" width="10.5703125" customWidth="1"/>
    <col min="5" max="5" width="13.7109375" customWidth="1"/>
    <col min="6" max="6" width="19.42578125" bestFit="1" customWidth="1"/>
    <col min="7" max="7" width="19.5703125" style="1" customWidth="1"/>
    <col min="8" max="8" width="18.42578125" style="1" customWidth="1"/>
    <col min="9" max="9" width="14.28515625" style="1" customWidth="1"/>
    <col min="10" max="10" width="19" style="1" customWidth="1"/>
    <col min="11" max="11" width="16" style="1" customWidth="1"/>
    <col min="12" max="12" width="20.28515625" customWidth="1"/>
    <col min="13" max="13" width="12.42578125" customWidth="1"/>
  </cols>
  <sheetData>
    <row r="1" spans="1:13" s="5" customFormat="1" ht="28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264</v>
      </c>
      <c r="M1" s="2" t="s">
        <v>265</v>
      </c>
    </row>
    <row r="2" spans="1:13" x14ac:dyDescent="0.25">
      <c r="A2" s="3" t="s">
        <v>11</v>
      </c>
      <c r="B2" s="4" t="s">
        <v>12</v>
      </c>
      <c r="C2" s="3">
        <v>24</v>
      </c>
      <c r="D2" s="4" t="s">
        <v>13</v>
      </c>
      <c r="E2" s="4" t="s">
        <v>14</v>
      </c>
      <c r="F2" s="4" t="s">
        <v>15</v>
      </c>
      <c r="G2" s="3">
        <v>499</v>
      </c>
      <c r="H2" s="3">
        <v>4</v>
      </c>
      <c r="I2" s="3">
        <v>4</v>
      </c>
      <c r="J2" s="3">
        <v>5</v>
      </c>
      <c r="K2" s="3" t="s">
        <v>16</v>
      </c>
      <c r="L2" s="6" t="str">
        <f>IF(H2&gt;=24,"Loyal Customer","New Customer")</f>
        <v>New Customer</v>
      </c>
      <c r="M2" s="6" t="str">
        <f>IF(K2="Yes","High Risk","Low Risk")</f>
        <v>High Risk</v>
      </c>
    </row>
    <row r="3" spans="1:13" x14ac:dyDescent="0.25">
      <c r="A3" s="3" t="s">
        <v>17</v>
      </c>
      <c r="B3" s="4" t="s">
        <v>18</v>
      </c>
      <c r="C3" s="3">
        <v>31</v>
      </c>
      <c r="D3" s="4" t="s">
        <v>19</v>
      </c>
      <c r="E3" s="4" t="s">
        <v>20</v>
      </c>
      <c r="F3" s="4" t="s">
        <v>21</v>
      </c>
      <c r="G3" s="3">
        <v>999</v>
      </c>
      <c r="H3" s="3">
        <v>28</v>
      </c>
      <c r="I3" s="3">
        <v>0</v>
      </c>
      <c r="J3" s="3">
        <v>1</v>
      </c>
      <c r="K3" s="3" t="s">
        <v>22</v>
      </c>
      <c r="L3" s="6" t="str">
        <f t="shared" ref="L3:L66" si="0">IF(H3&gt;=24,"Loyal Customer","New Customer")</f>
        <v>Loyal Customer</v>
      </c>
      <c r="M3" s="6" t="str">
        <f t="shared" ref="M3:M66" si="1">IF(K3="Yes","High Risk","Low Risk")</f>
        <v>Low Risk</v>
      </c>
    </row>
    <row r="4" spans="1:13" x14ac:dyDescent="0.25">
      <c r="A4" s="3" t="s">
        <v>23</v>
      </c>
      <c r="B4" s="4" t="s">
        <v>24</v>
      </c>
      <c r="C4" s="3">
        <v>27</v>
      </c>
      <c r="D4" s="4" t="s">
        <v>13</v>
      </c>
      <c r="E4" s="4" t="s">
        <v>25</v>
      </c>
      <c r="F4" s="4" t="s">
        <v>26</v>
      </c>
      <c r="G4" s="3">
        <v>699</v>
      </c>
      <c r="H4" s="3">
        <v>8</v>
      </c>
      <c r="I4" s="3">
        <v>3</v>
      </c>
      <c r="J4" s="3">
        <v>4</v>
      </c>
      <c r="K4" s="3" t="s">
        <v>16</v>
      </c>
      <c r="L4" s="6" t="str">
        <f t="shared" si="0"/>
        <v>New Customer</v>
      </c>
      <c r="M4" s="6" t="str">
        <f t="shared" si="1"/>
        <v>High Risk</v>
      </c>
    </row>
    <row r="5" spans="1:13" x14ac:dyDescent="0.25">
      <c r="A5" s="3" t="s">
        <v>27</v>
      </c>
      <c r="B5" s="4" t="s">
        <v>28</v>
      </c>
      <c r="C5" s="3">
        <v>35</v>
      </c>
      <c r="D5" s="4" t="s">
        <v>19</v>
      </c>
      <c r="E5" s="4" t="s">
        <v>29</v>
      </c>
      <c r="F5" s="4" t="s">
        <v>21</v>
      </c>
      <c r="G5" s="3">
        <v>1099</v>
      </c>
      <c r="H5" s="3">
        <v>36</v>
      </c>
      <c r="I5" s="3">
        <v>1</v>
      </c>
      <c r="J5" s="3">
        <v>1</v>
      </c>
      <c r="K5" s="3" t="s">
        <v>22</v>
      </c>
      <c r="L5" s="6" t="str">
        <f t="shared" si="0"/>
        <v>Loyal Customer</v>
      </c>
      <c r="M5" s="6" t="str">
        <f t="shared" si="1"/>
        <v>Low Risk</v>
      </c>
    </row>
    <row r="6" spans="1:13" x14ac:dyDescent="0.25">
      <c r="A6" s="3" t="s">
        <v>30</v>
      </c>
      <c r="B6" s="4" t="s">
        <v>31</v>
      </c>
      <c r="C6" s="3">
        <v>22</v>
      </c>
      <c r="D6" s="4" t="s">
        <v>13</v>
      </c>
      <c r="E6" s="4" t="s">
        <v>32</v>
      </c>
      <c r="F6" s="4" t="s">
        <v>15</v>
      </c>
      <c r="G6" s="3">
        <v>499</v>
      </c>
      <c r="H6" s="3">
        <v>3</v>
      </c>
      <c r="I6" s="3">
        <v>5</v>
      </c>
      <c r="J6" s="3">
        <v>6</v>
      </c>
      <c r="K6" s="3" t="s">
        <v>16</v>
      </c>
      <c r="L6" s="6" t="str">
        <f t="shared" si="0"/>
        <v>New Customer</v>
      </c>
      <c r="M6" s="6" t="str">
        <f t="shared" si="1"/>
        <v>High Risk</v>
      </c>
    </row>
    <row r="7" spans="1:13" x14ac:dyDescent="0.25">
      <c r="A7" s="3" t="s">
        <v>33</v>
      </c>
      <c r="B7" s="4" t="s">
        <v>34</v>
      </c>
      <c r="C7" s="3">
        <v>29</v>
      </c>
      <c r="D7" s="4" t="s">
        <v>19</v>
      </c>
      <c r="E7" s="4" t="s">
        <v>35</v>
      </c>
      <c r="F7" s="4" t="s">
        <v>26</v>
      </c>
      <c r="G7" s="3">
        <v>799</v>
      </c>
      <c r="H7" s="3">
        <v>18</v>
      </c>
      <c r="I7" s="3">
        <v>1</v>
      </c>
      <c r="J7" s="3">
        <v>2</v>
      </c>
      <c r="K7" s="3" t="s">
        <v>22</v>
      </c>
      <c r="L7" s="6" t="str">
        <f t="shared" si="0"/>
        <v>New Customer</v>
      </c>
      <c r="M7" s="6" t="str">
        <f t="shared" si="1"/>
        <v>Low Risk</v>
      </c>
    </row>
    <row r="8" spans="1:13" x14ac:dyDescent="0.25">
      <c r="A8" s="3" t="s">
        <v>36</v>
      </c>
      <c r="B8" s="4" t="s">
        <v>37</v>
      </c>
      <c r="C8" s="3">
        <v>41</v>
      </c>
      <c r="D8" s="4" t="s">
        <v>13</v>
      </c>
      <c r="E8" s="4" t="s">
        <v>38</v>
      </c>
      <c r="F8" s="4" t="s">
        <v>21</v>
      </c>
      <c r="G8" s="3">
        <v>1199</v>
      </c>
      <c r="H8" s="3">
        <v>42</v>
      </c>
      <c r="I8" s="3">
        <v>0</v>
      </c>
      <c r="J8" s="3">
        <v>0</v>
      </c>
      <c r="K8" s="3" t="s">
        <v>22</v>
      </c>
      <c r="L8" s="6" t="str">
        <f t="shared" si="0"/>
        <v>Loyal Customer</v>
      </c>
      <c r="M8" s="6" t="str">
        <f t="shared" si="1"/>
        <v>Low Risk</v>
      </c>
    </row>
    <row r="9" spans="1:13" x14ac:dyDescent="0.25">
      <c r="A9" s="3" t="s">
        <v>39</v>
      </c>
      <c r="B9" s="4" t="s">
        <v>40</v>
      </c>
      <c r="C9" s="3">
        <v>26</v>
      </c>
      <c r="D9" s="4" t="s">
        <v>19</v>
      </c>
      <c r="E9" s="4" t="s">
        <v>14</v>
      </c>
      <c r="F9" s="4" t="s">
        <v>15</v>
      </c>
      <c r="G9" s="3">
        <v>499</v>
      </c>
      <c r="H9" s="3">
        <v>5</v>
      </c>
      <c r="I9" s="3">
        <v>4</v>
      </c>
      <c r="J9" s="3">
        <v>5</v>
      </c>
      <c r="K9" s="3" t="s">
        <v>16</v>
      </c>
      <c r="L9" s="6" t="str">
        <f t="shared" si="0"/>
        <v>New Customer</v>
      </c>
      <c r="M9" s="6" t="str">
        <f t="shared" si="1"/>
        <v>High Risk</v>
      </c>
    </row>
    <row r="10" spans="1:13" x14ac:dyDescent="0.25">
      <c r="A10" s="3" t="s">
        <v>41</v>
      </c>
      <c r="B10" s="4" t="s">
        <v>42</v>
      </c>
      <c r="C10" s="3">
        <v>33</v>
      </c>
      <c r="D10" s="4" t="s">
        <v>13</v>
      </c>
      <c r="E10" s="4" t="s">
        <v>20</v>
      </c>
      <c r="F10" s="4" t="s">
        <v>26</v>
      </c>
      <c r="G10" s="3">
        <v>699</v>
      </c>
      <c r="H10" s="3">
        <v>20</v>
      </c>
      <c r="I10" s="3">
        <v>1</v>
      </c>
      <c r="J10" s="3">
        <v>2</v>
      </c>
      <c r="K10" s="3" t="s">
        <v>22</v>
      </c>
      <c r="L10" s="6" t="str">
        <f t="shared" si="0"/>
        <v>New Customer</v>
      </c>
      <c r="M10" s="6" t="str">
        <f t="shared" si="1"/>
        <v>Low Risk</v>
      </c>
    </row>
    <row r="11" spans="1:13" x14ac:dyDescent="0.25">
      <c r="A11" s="3" t="s">
        <v>43</v>
      </c>
      <c r="B11" s="4" t="s">
        <v>44</v>
      </c>
      <c r="C11" s="3">
        <v>30</v>
      </c>
      <c r="D11" s="4" t="s">
        <v>19</v>
      </c>
      <c r="E11" s="4" t="s">
        <v>25</v>
      </c>
      <c r="F11" s="4" t="s">
        <v>21</v>
      </c>
      <c r="G11" s="3">
        <v>999</v>
      </c>
      <c r="H11" s="3">
        <v>30</v>
      </c>
      <c r="I11" s="3">
        <v>0</v>
      </c>
      <c r="J11" s="3">
        <v>1</v>
      </c>
      <c r="K11" s="3" t="s">
        <v>22</v>
      </c>
      <c r="L11" s="6" t="str">
        <f t="shared" si="0"/>
        <v>Loyal Customer</v>
      </c>
      <c r="M11" s="6" t="str">
        <f t="shared" si="1"/>
        <v>Low Risk</v>
      </c>
    </row>
    <row r="12" spans="1:13" x14ac:dyDescent="0.25">
      <c r="A12" s="3" t="s">
        <v>45</v>
      </c>
      <c r="B12" s="4" t="s">
        <v>46</v>
      </c>
      <c r="C12" s="3">
        <v>25</v>
      </c>
      <c r="D12" s="4" t="s">
        <v>13</v>
      </c>
      <c r="E12" s="4" t="s">
        <v>29</v>
      </c>
      <c r="F12" s="4" t="s">
        <v>15</v>
      </c>
      <c r="G12" s="3">
        <v>499</v>
      </c>
      <c r="H12" s="3">
        <v>2</v>
      </c>
      <c r="I12" s="3">
        <v>5</v>
      </c>
      <c r="J12" s="3">
        <v>5</v>
      </c>
      <c r="K12" s="3" t="s">
        <v>16</v>
      </c>
      <c r="L12" s="6" t="str">
        <f t="shared" si="0"/>
        <v>New Customer</v>
      </c>
      <c r="M12" s="6" t="str">
        <f t="shared" si="1"/>
        <v>High Risk</v>
      </c>
    </row>
    <row r="13" spans="1:13" x14ac:dyDescent="0.25">
      <c r="A13" s="3" t="s">
        <v>47</v>
      </c>
      <c r="B13" s="4" t="s">
        <v>48</v>
      </c>
      <c r="C13" s="3">
        <v>38</v>
      </c>
      <c r="D13" s="4" t="s">
        <v>19</v>
      </c>
      <c r="E13" s="4" t="s">
        <v>32</v>
      </c>
      <c r="F13" s="4" t="s">
        <v>21</v>
      </c>
      <c r="G13" s="3">
        <v>1099</v>
      </c>
      <c r="H13" s="3">
        <v>40</v>
      </c>
      <c r="I13" s="3">
        <v>0</v>
      </c>
      <c r="J13" s="3">
        <v>0</v>
      </c>
      <c r="K13" s="3" t="s">
        <v>16</v>
      </c>
      <c r="L13" s="6" t="str">
        <f t="shared" si="0"/>
        <v>Loyal Customer</v>
      </c>
      <c r="M13" s="6" t="str">
        <f t="shared" si="1"/>
        <v>High Risk</v>
      </c>
    </row>
    <row r="14" spans="1:13" x14ac:dyDescent="0.25">
      <c r="A14" s="3" t="s">
        <v>49</v>
      </c>
      <c r="B14" s="4" t="s">
        <v>50</v>
      </c>
      <c r="C14" s="3">
        <v>29</v>
      </c>
      <c r="D14" s="4" t="s">
        <v>13</v>
      </c>
      <c r="E14" s="4" t="s">
        <v>35</v>
      </c>
      <c r="F14" s="4" t="s">
        <v>26</v>
      </c>
      <c r="G14" s="3">
        <v>799</v>
      </c>
      <c r="H14" s="3">
        <v>14</v>
      </c>
      <c r="I14" s="3">
        <v>2</v>
      </c>
      <c r="J14" s="3">
        <v>3</v>
      </c>
      <c r="K14" s="3" t="s">
        <v>22</v>
      </c>
      <c r="L14" s="6" t="str">
        <f t="shared" si="0"/>
        <v>New Customer</v>
      </c>
      <c r="M14" s="6" t="str">
        <f t="shared" si="1"/>
        <v>Low Risk</v>
      </c>
    </row>
    <row r="15" spans="1:13" x14ac:dyDescent="0.25">
      <c r="A15" s="3" t="s">
        <v>51</v>
      </c>
      <c r="B15" s="4" t="s">
        <v>52</v>
      </c>
      <c r="C15" s="3">
        <v>23</v>
      </c>
      <c r="D15" s="4" t="s">
        <v>19</v>
      </c>
      <c r="E15" s="4" t="s">
        <v>38</v>
      </c>
      <c r="F15" s="4" t="s">
        <v>15</v>
      </c>
      <c r="G15" s="3">
        <v>499</v>
      </c>
      <c r="H15" s="3">
        <v>4</v>
      </c>
      <c r="I15" s="3">
        <v>4</v>
      </c>
      <c r="J15" s="3">
        <v>4</v>
      </c>
      <c r="K15" s="3" t="s">
        <v>16</v>
      </c>
      <c r="L15" s="6" t="str">
        <f t="shared" si="0"/>
        <v>New Customer</v>
      </c>
      <c r="M15" s="6" t="str">
        <f t="shared" si="1"/>
        <v>High Risk</v>
      </c>
    </row>
    <row r="16" spans="1:13" x14ac:dyDescent="0.25">
      <c r="A16" s="3" t="s">
        <v>53</v>
      </c>
      <c r="B16" s="4" t="s">
        <v>54</v>
      </c>
      <c r="C16" s="3">
        <v>36</v>
      </c>
      <c r="D16" s="4" t="s">
        <v>13</v>
      </c>
      <c r="E16" s="4" t="s">
        <v>14</v>
      </c>
      <c r="F16" s="4" t="s">
        <v>21</v>
      </c>
      <c r="G16" s="3">
        <v>1199</v>
      </c>
      <c r="H16" s="3">
        <v>45</v>
      </c>
      <c r="I16" s="3">
        <v>1</v>
      </c>
      <c r="J16" s="3">
        <v>1</v>
      </c>
      <c r="K16" s="3" t="s">
        <v>22</v>
      </c>
      <c r="L16" s="6" t="str">
        <f t="shared" si="0"/>
        <v>Loyal Customer</v>
      </c>
      <c r="M16" s="6" t="str">
        <f t="shared" si="1"/>
        <v>Low Risk</v>
      </c>
    </row>
    <row r="17" spans="1:13" x14ac:dyDescent="0.25">
      <c r="A17" s="3" t="s">
        <v>55</v>
      </c>
      <c r="B17" s="4" t="s">
        <v>56</v>
      </c>
      <c r="C17" s="3">
        <v>28</v>
      </c>
      <c r="D17" s="4" t="s">
        <v>19</v>
      </c>
      <c r="E17" s="4" t="s">
        <v>20</v>
      </c>
      <c r="F17" s="4" t="s">
        <v>26</v>
      </c>
      <c r="G17" s="3">
        <v>699</v>
      </c>
      <c r="H17" s="3">
        <v>12</v>
      </c>
      <c r="I17" s="3">
        <v>2</v>
      </c>
      <c r="J17" s="3">
        <v>3</v>
      </c>
      <c r="K17" s="3" t="s">
        <v>22</v>
      </c>
      <c r="L17" s="6" t="str">
        <f t="shared" si="0"/>
        <v>New Customer</v>
      </c>
      <c r="M17" s="6" t="str">
        <f t="shared" si="1"/>
        <v>Low Risk</v>
      </c>
    </row>
    <row r="18" spans="1:13" x14ac:dyDescent="0.25">
      <c r="A18" s="3" t="s">
        <v>57</v>
      </c>
      <c r="B18" s="4" t="s">
        <v>58</v>
      </c>
      <c r="C18" s="3">
        <v>21</v>
      </c>
      <c r="D18" s="4" t="s">
        <v>13</v>
      </c>
      <c r="E18" s="4" t="s">
        <v>25</v>
      </c>
      <c r="F18" s="4" t="s">
        <v>15</v>
      </c>
      <c r="G18" s="3">
        <v>499</v>
      </c>
      <c r="H18" s="3">
        <v>1</v>
      </c>
      <c r="I18" s="3">
        <v>5</v>
      </c>
      <c r="J18" s="3">
        <v>7</v>
      </c>
      <c r="K18" s="3" t="s">
        <v>16</v>
      </c>
      <c r="L18" s="6" t="str">
        <f t="shared" si="0"/>
        <v>New Customer</v>
      </c>
      <c r="M18" s="6" t="str">
        <f t="shared" si="1"/>
        <v>High Risk</v>
      </c>
    </row>
    <row r="19" spans="1:13" x14ac:dyDescent="0.25">
      <c r="A19" s="3" t="s">
        <v>59</v>
      </c>
      <c r="B19" s="4" t="s">
        <v>60</v>
      </c>
      <c r="C19" s="3">
        <v>34</v>
      </c>
      <c r="D19" s="4" t="s">
        <v>19</v>
      </c>
      <c r="E19" s="4" t="s">
        <v>29</v>
      </c>
      <c r="F19" s="4" t="s">
        <v>21</v>
      </c>
      <c r="G19" s="3">
        <v>999</v>
      </c>
      <c r="H19" s="3">
        <v>32</v>
      </c>
      <c r="I19" s="3">
        <v>0</v>
      </c>
      <c r="J19" s="3">
        <v>1</v>
      </c>
      <c r="K19" s="3" t="s">
        <v>22</v>
      </c>
      <c r="L19" s="6" t="str">
        <f t="shared" si="0"/>
        <v>Loyal Customer</v>
      </c>
      <c r="M19" s="6" t="str">
        <f t="shared" si="1"/>
        <v>Low Risk</v>
      </c>
    </row>
    <row r="20" spans="1:13" x14ac:dyDescent="0.25">
      <c r="A20" s="3" t="s">
        <v>61</v>
      </c>
      <c r="B20" s="4" t="s">
        <v>62</v>
      </c>
      <c r="C20" s="3">
        <v>40</v>
      </c>
      <c r="D20" s="4" t="s">
        <v>13</v>
      </c>
      <c r="E20" s="4" t="s">
        <v>32</v>
      </c>
      <c r="F20" s="4" t="s">
        <v>21</v>
      </c>
      <c r="G20" s="3">
        <v>1199</v>
      </c>
      <c r="H20" s="3">
        <v>48</v>
      </c>
      <c r="I20" s="3">
        <v>0</v>
      </c>
      <c r="J20" s="3">
        <v>0</v>
      </c>
      <c r="K20" s="3" t="s">
        <v>22</v>
      </c>
      <c r="L20" s="6" t="str">
        <f t="shared" si="0"/>
        <v>Loyal Customer</v>
      </c>
      <c r="M20" s="6" t="str">
        <f t="shared" si="1"/>
        <v>Low Risk</v>
      </c>
    </row>
    <row r="21" spans="1:13" x14ac:dyDescent="0.25">
      <c r="A21" s="3" t="s">
        <v>63</v>
      </c>
      <c r="B21" s="4" t="s">
        <v>64</v>
      </c>
      <c r="C21" s="3">
        <v>27</v>
      </c>
      <c r="D21" s="4" t="s">
        <v>19</v>
      </c>
      <c r="E21" s="4" t="s">
        <v>35</v>
      </c>
      <c r="F21" s="4" t="s">
        <v>26</v>
      </c>
      <c r="G21" s="3">
        <v>799</v>
      </c>
      <c r="H21" s="3">
        <v>15</v>
      </c>
      <c r="I21" s="3">
        <v>2</v>
      </c>
      <c r="J21" s="3">
        <v>2</v>
      </c>
      <c r="K21" s="3" t="s">
        <v>22</v>
      </c>
      <c r="L21" s="6" t="str">
        <f t="shared" si="0"/>
        <v>New Customer</v>
      </c>
      <c r="M21" s="6" t="str">
        <f t="shared" si="1"/>
        <v>Low Risk</v>
      </c>
    </row>
    <row r="22" spans="1:13" x14ac:dyDescent="0.25">
      <c r="A22" s="3" t="s">
        <v>65</v>
      </c>
      <c r="B22" s="4" t="s">
        <v>66</v>
      </c>
      <c r="C22" s="3">
        <v>24</v>
      </c>
      <c r="D22" s="4" t="s">
        <v>13</v>
      </c>
      <c r="E22" s="4" t="s">
        <v>38</v>
      </c>
      <c r="F22" s="4" t="s">
        <v>15</v>
      </c>
      <c r="G22" s="3">
        <v>499</v>
      </c>
      <c r="H22" s="3">
        <v>6</v>
      </c>
      <c r="I22" s="3">
        <v>4</v>
      </c>
      <c r="J22" s="3">
        <v>5</v>
      </c>
      <c r="K22" s="3" t="s">
        <v>16</v>
      </c>
      <c r="L22" s="6" t="str">
        <f t="shared" si="0"/>
        <v>New Customer</v>
      </c>
      <c r="M22" s="6" t="str">
        <f t="shared" si="1"/>
        <v>High Risk</v>
      </c>
    </row>
    <row r="23" spans="1:13" x14ac:dyDescent="0.25">
      <c r="A23" s="3" t="s">
        <v>67</v>
      </c>
      <c r="B23" s="4" t="s">
        <v>68</v>
      </c>
      <c r="C23" s="3">
        <v>32</v>
      </c>
      <c r="D23" s="4" t="s">
        <v>19</v>
      </c>
      <c r="E23" s="4" t="s">
        <v>14</v>
      </c>
      <c r="F23" s="4" t="s">
        <v>21</v>
      </c>
      <c r="G23" s="3">
        <v>999</v>
      </c>
      <c r="H23" s="3">
        <v>26</v>
      </c>
      <c r="I23" s="3">
        <v>1</v>
      </c>
      <c r="J23" s="3">
        <v>1</v>
      </c>
      <c r="K23" s="3" t="s">
        <v>22</v>
      </c>
      <c r="L23" s="6" t="str">
        <f t="shared" si="0"/>
        <v>Loyal Customer</v>
      </c>
      <c r="M23" s="6" t="str">
        <f t="shared" si="1"/>
        <v>Low Risk</v>
      </c>
    </row>
    <row r="24" spans="1:13" x14ac:dyDescent="0.25">
      <c r="A24" s="3" t="s">
        <v>69</v>
      </c>
      <c r="B24" s="4" t="s">
        <v>70</v>
      </c>
      <c r="C24" s="3">
        <v>26</v>
      </c>
      <c r="D24" s="4" t="s">
        <v>13</v>
      </c>
      <c r="E24" s="4" t="s">
        <v>20</v>
      </c>
      <c r="F24" s="4" t="s">
        <v>26</v>
      </c>
      <c r="G24" s="3">
        <v>699</v>
      </c>
      <c r="H24" s="3">
        <v>9</v>
      </c>
      <c r="I24" s="3">
        <v>3</v>
      </c>
      <c r="J24" s="3">
        <v>4</v>
      </c>
      <c r="K24" s="3" t="s">
        <v>16</v>
      </c>
      <c r="L24" s="6" t="str">
        <f t="shared" si="0"/>
        <v>New Customer</v>
      </c>
      <c r="M24" s="6" t="str">
        <f t="shared" si="1"/>
        <v>High Risk</v>
      </c>
    </row>
    <row r="25" spans="1:13" x14ac:dyDescent="0.25">
      <c r="A25" s="3" t="s">
        <v>71</v>
      </c>
      <c r="B25" s="4" t="s">
        <v>72</v>
      </c>
      <c r="C25" s="3">
        <v>37</v>
      </c>
      <c r="D25" s="4" t="s">
        <v>19</v>
      </c>
      <c r="E25" s="4" t="s">
        <v>25</v>
      </c>
      <c r="F25" s="4" t="s">
        <v>21</v>
      </c>
      <c r="G25" s="3">
        <v>1099</v>
      </c>
      <c r="H25" s="3">
        <v>38</v>
      </c>
      <c r="I25" s="3">
        <v>0</v>
      </c>
      <c r="J25" s="3">
        <v>0</v>
      </c>
      <c r="K25" s="3" t="s">
        <v>22</v>
      </c>
      <c r="L25" s="6" t="str">
        <f t="shared" si="0"/>
        <v>Loyal Customer</v>
      </c>
      <c r="M25" s="6" t="str">
        <f t="shared" si="1"/>
        <v>Low Risk</v>
      </c>
    </row>
    <row r="26" spans="1:13" x14ac:dyDescent="0.25">
      <c r="A26" s="3" t="s">
        <v>73</v>
      </c>
      <c r="B26" s="4" t="s">
        <v>74</v>
      </c>
      <c r="C26" s="3">
        <v>22</v>
      </c>
      <c r="D26" s="4" t="s">
        <v>13</v>
      </c>
      <c r="E26" s="4" t="s">
        <v>29</v>
      </c>
      <c r="F26" s="4" t="s">
        <v>15</v>
      </c>
      <c r="G26" s="3">
        <v>499</v>
      </c>
      <c r="H26" s="3">
        <v>3</v>
      </c>
      <c r="I26" s="3">
        <v>5</v>
      </c>
      <c r="J26" s="3">
        <v>6</v>
      </c>
      <c r="K26" s="3" t="s">
        <v>16</v>
      </c>
      <c r="L26" s="6" t="str">
        <f t="shared" si="0"/>
        <v>New Customer</v>
      </c>
      <c r="M26" s="6" t="str">
        <f t="shared" si="1"/>
        <v>High Risk</v>
      </c>
    </row>
    <row r="27" spans="1:13" x14ac:dyDescent="0.25">
      <c r="A27" s="3" t="s">
        <v>75</v>
      </c>
      <c r="B27" s="4" t="s">
        <v>76</v>
      </c>
      <c r="C27" s="3">
        <v>30</v>
      </c>
      <c r="D27" s="4" t="s">
        <v>19</v>
      </c>
      <c r="E27" s="4" t="s">
        <v>32</v>
      </c>
      <c r="F27" s="4" t="s">
        <v>26</v>
      </c>
      <c r="G27" s="3">
        <v>799</v>
      </c>
      <c r="H27" s="3">
        <v>19</v>
      </c>
      <c r="I27" s="3">
        <v>1</v>
      </c>
      <c r="J27" s="3">
        <v>2</v>
      </c>
      <c r="K27" s="3" t="s">
        <v>22</v>
      </c>
      <c r="L27" s="6" t="str">
        <f t="shared" si="0"/>
        <v>New Customer</v>
      </c>
      <c r="M27" s="6" t="str">
        <f t="shared" si="1"/>
        <v>Low Risk</v>
      </c>
    </row>
    <row r="28" spans="1:13" x14ac:dyDescent="0.25">
      <c r="A28" s="3" t="s">
        <v>77</v>
      </c>
      <c r="B28" s="4" t="s">
        <v>78</v>
      </c>
      <c r="C28" s="3">
        <v>42</v>
      </c>
      <c r="D28" s="4" t="s">
        <v>13</v>
      </c>
      <c r="E28" s="4" t="s">
        <v>35</v>
      </c>
      <c r="F28" s="4" t="s">
        <v>21</v>
      </c>
      <c r="G28" s="3">
        <v>1199</v>
      </c>
      <c r="H28" s="3">
        <v>50</v>
      </c>
      <c r="I28" s="3">
        <v>0</v>
      </c>
      <c r="J28" s="3">
        <v>0</v>
      </c>
      <c r="K28" s="3" t="s">
        <v>22</v>
      </c>
      <c r="L28" s="6" t="str">
        <f t="shared" si="0"/>
        <v>Loyal Customer</v>
      </c>
      <c r="M28" s="6" t="str">
        <f t="shared" si="1"/>
        <v>Low Risk</v>
      </c>
    </row>
    <row r="29" spans="1:13" x14ac:dyDescent="0.25">
      <c r="A29" s="3" t="s">
        <v>79</v>
      </c>
      <c r="B29" s="4" t="s">
        <v>80</v>
      </c>
      <c r="C29" s="3">
        <v>25</v>
      </c>
      <c r="D29" s="4" t="s">
        <v>19</v>
      </c>
      <c r="E29" s="4" t="s">
        <v>38</v>
      </c>
      <c r="F29" s="4" t="s">
        <v>15</v>
      </c>
      <c r="G29" s="3">
        <v>499</v>
      </c>
      <c r="H29" s="3">
        <v>5</v>
      </c>
      <c r="I29" s="3">
        <v>4</v>
      </c>
      <c r="J29" s="3">
        <v>5</v>
      </c>
      <c r="K29" s="3" t="s">
        <v>16</v>
      </c>
      <c r="L29" s="6" t="str">
        <f t="shared" si="0"/>
        <v>New Customer</v>
      </c>
      <c r="M29" s="6" t="str">
        <f t="shared" si="1"/>
        <v>High Risk</v>
      </c>
    </row>
    <row r="30" spans="1:13" x14ac:dyDescent="0.25">
      <c r="A30" s="3" t="s">
        <v>81</v>
      </c>
      <c r="B30" s="4" t="s">
        <v>82</v>
      </c>
      <c r="C30" s="3">
        <v>35</v>
      </c>
      <c r="D30" s="4" t="s">
        <v>13</v>
      </c>
      <c r="E30" s="4" t="s">
        <v>14</v>
      </c>
      <c r="F30" s="4" t="s">
        <v>21</v>
      </c>
      <c r="G30" s="3">
        <v>999</v>
      </c>
      <c r="H30" s="3">
        <v>34</v>
      </c>
      <c r="I30" s="3">
        <v>1</v>
      </c>
      <c r="J30" s="3">
        <v>1</v>
      </c>
      <c r="K30" s="3" t="s">
        <v>22</v>
      </c>
      <c r="L30" s="6" t="str">
        <f t="shared" si="0"/>
        <v>Loyal Customer</v>
      </c>
      <c r="M30" s="6" t="str">
        <f t="shared" si="1"/>
        <v>Low Risk</v>
      </c>
    </row>
    <row r="31" spans="1:13" x14ac:dyDescent="0.25">
      <c r="A31" s="3" t="s">
        <v>83</v>
      </c>
      <c r="B31" s="4" t="s">
        <v>84</v>
      </c>
      <c r="C31" s="3">
        <v>28</v>
      </c>
      <c r="D31" s="4" t="s">
        <v>19</v>
      </c>
      <c r="E31" s="4" t="s">
        <v>20</v>
      </c>
      <c r="F31" s="4" t="s">
        <v>26</v>
      </c>
      <c r="G31" s="3">
        <v>699</v>
      </c>
      <c r="H31" s="3">
        <v>13</v>
      </c>
      <c r="I31" s="3">
        <v>2</v>
      </c>
      <c r="J31" s="3">
        <v>3</v>
      </c>
      <c r="K31" s="3" t="s">
        <v>22</v>
      </c>
      <c r="L31" s="6" t="str">
        <f t="shared" si="0"/>
        <v>New Customer</v>
      </c>
      <c r="M31" s="6" t="str">
        <f t="shared" si="1"/>
        <v>Low Risk</v>
      </c>
    </row>
    <row r="32" spans="1:13" x14ac:dyDescent="0.25">
      <c r="A32" s="3" t="s">
        <v>85</v>
      </c>
      <c r="B32" s="4" t="s">
        <v>86</v>
      </c>
      <c r="C32" s="3">
        <v>23</v>
      </c>
      <c r="D32" s="4" t="s">
        <v>13</v>
      </c>
      <c r="E32" s="4" t="s">
        <v>25</v>
      </c>
      <c r="F32" s="4" t="s">
        <v>15</v>
      </c>
      <c r="G32" s="3">
        <v>499</v>
      </c>
      <c r="H32" s="3">
        <v>2</v>
      </c>
      <c r="I32" s="3">
        <v>5</v>
      </c>
      <c r="J32" s="3">
        <v>6</v>
      </c>
      <c r="K32" s="3" t="s">
        <v>16</v>
      </c>
      <c r="L32" s="6" t="str">
        <f t="shared" si="0"/>
        <v>New Customer</v>
      </c>
      <c r="M32" s="6" t="str">
        <f t="shared" si="1"/>
        <v>High Risk</v>
      </c>
    </row>
    <row r="33" spans="1:13" x14ac:dyDescent="0.25">
      <c r="A33" s="3" t="s">
        <v>87</v>
      </c>
      <c r="B33" s="4" t="s">
        <v>88</v>
      </c>
      <c r="C33" s="3">
        <v>33</v>
      </c>
      <c r="D33" s="4" t="s">
        <v>19</v>
      </c>
      <c r="E33" s="4" t="s">
        <v>29</v>
      </c>
      <c r="F33" s="4" t="s">
        <v>21</v>
      </c>
      <c r="G33" s="3">
        <v>1099</v>
      </c>
      <c r="H33" s="3">
        <v>35</v>
      </c>
      <c r="I33" s="3">
        <v>0</v>
      </c>
      <c r="J33" s="3">
        <v>1</v>
      </c>
      <c r="K33" s="3" t="s">
        <v>22</v>
      </c>
      <c r="L33" s="6" t="str">
        <f t="shared" si="0"/>
        <v>Loyal Customer</v>
      </c>
      <c r="M33" s="6" t="str">
        <f t="shared" si="1"/>
        <v>Low Risk</v>
      </c>
    </row>
    <row r="34" spans="1:13" x14ac:dyDescent="0.25">
      <c r="A34" s="3" t="s">
        <v>89</v>
      </c>
      <c r="B34" s="4" t="s">
        <v>90</v>
      </c>
      <c r="C34" s="3">
        <v>39</v>
      </c>
      <c r="D34" s="4" t="s">
        <v>13</v>
      </c>
      <c r="E34" s="4" t="s">
        <v>32</v>
      </c>
      <c r="F34" s="4" t="s">
        <v>21</v>
      </c>
      <c r="G34" s="3">
        <v>1199</v>
      </c>
      <c r="H34" s="3">
        <v>44</v>
      </c>
      <c r="I34" s="3">
        <v>0</v>
      </c>
      <c r="J34" s="3">
        <v>0</v>
      </c>
      <c r="K34" s="3" t="s">
        <v>16</v>
      </c>
      <c r="L34" s="6" t="str">
        <f t="shared" si="0"/>
        <v>Loyal Customer</v>
      </c>
      <c r="M34" s="6" t="str">
        <f t="shared" si="1"/>
        <v>High Risk</v>
      </c>
    </row>
    <row r="35" spans="1:13" x14ac:dyDescent="0.25">
      <c r="A35" s="3" t="s">
        <v>91</v>
      </c>
      <c r="B35" s="4" t="s">
        <v>92</v>
      </c>
      <c r="C35" s="3">
        <v>29</v>
      </c>
      <c r="D35" s="4" t="s">
        <v>19</v>
      </c>
      <c r="E35" s="4" t="s">
        <v>35</v>
      </c>
      <c r="F35" s="4" t="s">
        <v>26</v>
      </c>
      <c r="G35" s="3">
        <v>799</v>
      </c>
      <c r="H35" s="3">
        <v>16</v>
      </c>
      <c r="I35" s="3">
        <v>2</v>
      </c>
      <c r="J35" s="3">
        <v>2</v>
      </c>
      <c r="K35" s="3" t="s">
        <v>22</v>
      </c>
      <c r="L35" s="6" t="str">
        <f t="shared" si="0"/>
        <v>New Customer</v>
      </c>
      <c r="M35" s="6" t="str">
        <f t="shared" si="1"/>
        <v>Low Risk</v>
      </c>
    </row>
    <row r="36" spans="1:13" x14ac:dyDescent="0.25">
      <c r="A36" s="3" t="s">
        <v>93</v>
      </c>
      <c r="B36" s="4" t="s">
        <v>94</v>
      </c>
      <c r="C36" s="3">
        <v>24</v>
      </c>
      <c r="D36" s="4" t="s">
        <v>13</v>
      </c>
      <c r="E36" s="4" t="s">
        <v>38</v>
      </c>
      <c r="F36" s="4" t="s">
        <v>15</v>
      </c>
      <c r="G36" s="3">
        <v>499</v>
      </c>
      <c r="H36" s="3">
        <v>4</v>
      </c>
      <c r="I36" s="3">
        <v>4</v>
      </c>
      <c r="J36" s="3">
        <v>5</v>
      </c>
      <c r="K36" s="3" t="s">
        <v>16</v>
      </c>
      <c r="L36" s="6" t="str">
        <f t="shared" si="0"/>
        <v>New Customer</v>
      </c>
      <c r="M36" s="6" t="str">
        <f t="shared" si="1"/>
        <v>High Risk</v>
      </c>
    </row>
    <row r="37" spans="1:13" x14ac:dyDescent="0.25">
      <c r="A37" s="3" t="s">
        <v>95</v>
      </c>
      <c r="B37" s="4" t="s">
        <v>96</v>
      </c>
      <c r="C37" s="3">
        <v>31</v>
      </c>
      <c r="D37" s="4" t="s">
        <v>19</v>
      </c>
      <c r="E37" s="4" t="s">
        <v>14</v>
      </c>
      <c r="F37" s="4" t="s">
        <v>21</v>
      </c>
      <c r="G37" s="3">
        <v>999</v>
      </c>
      <c r="H37" s="3">
        <v>27</v>
      </c>
      <c r="I37" s="3">
        <v>1</v>
      </c>
      <c r="J37" s="3">
        <v>1</v>
      </c>
      <c r="K37" s="3" t="s">
        <v>22</v>
      </c>
      <c r="L37" s="6" t="str">
        <f t="shared" si="0"/>
        <v>Loyal Customer</v>
      </c>
      <c r="M37" s="6" t="str">
        <f t="shared" si="1"/>
        <v>Low Risk</v>
      </c>
    </row>
    <row r="38" spans="1:13" x14ac:dyDescent="0.25">
      <c r="A38" s="3" t="s">
        <v>97</v>
      </c>
      <c r="B38" s="4" t="s">
        <v>98</v>
      </c>
      <c r="C38" s="3">
        <v>27</v>
      </c>
      <c r="D38" s="4" t="s">
        <v>13</v>
      </c>
      <c r="E38" s="4" t="s">
        <v>20</v>
      </c>
      <c r="F38" s="4" t="s">
        <v>26</v>
      </c>
      <c r="G38" s="3">
        <v>699</v>
      </c>
      <c r="H38" s="3">
        <v>10</v>
      </c>
      <c r="I38" s="3">
        <v>3</v>
      </c>
      <c r="J38" s="3">
        <v>4</v>
      </c>
      <c r="K38" s="3" t="s">
        <v>16</v>
      </c>
      <c r="L38" s="6" t="str">
        <f t="shared" si="0"/>
        <v>New Customer</v>
      </c>
      <c r="M38" s="6" t="str">
        <f t="shared" si="1"/>
        <v>High Risk</v>
      </c>
    </row>
    <row r="39" spans="1:13" x14ac:dyDescent="0.25">
      <c r="A39" s="3" t="s">
        <v>99</v>
      </c>
      <c r="B39" s="4" t="s">
        <v>100</v>
      </c>
      <c r="C39" s="3">
        <v>36</v>
      </c>
      <c r="D39" s="4" t="s">
        <v>19</v>
      </c>
      <c r="E39" s="4" t="s">
        <v>25</v>
      </c>
      <c r="F39" s="4" t="s">
        <v>21</v>
      </c>
      <c r="G39" s="3">
        <v>1099</v>
      </c>
      <c r="H39" s="3">
        <v>37</v>
      </c>
      <c r="I39" s="3">
        <v>0</v>
      </c>
      <c r="J39" s="3">
        <v>0</v>
      </c>
      <c r="K39" s="3" t="s">
        <v>22</v>
      </c>
      <c r="L39" s="6" t="str">
        <f t="shared" si="0"/>
        <v>Loyal Customer</v>
      </c>
      <c r="M39" s="6" t="str">
        <f t="shared" si="1"/>
        <v>Low Risk</v>
      </c>
    </row>
    <row r="40" spans="1:13" x14ac:dyDescent="0.25">
      <c r="A40" s="3" t="s">
        <v>101</v>
      </c>
      <c r="B40" s="4" t="s">
        <v>102</v>
      </c>
      <c r="C40" s="3">
        <v>22</v>
      </c>
      <c r="D40" s="4" t="s">
        <v>13</v>
      </c>
      <c r="E40" s="4" t="s">
        <v>29</v>
      </c>
      <c r="F40" s="4" t="s">
        <v>15</v>
      </c>
      <c r="G40" s="3">
        <v>499</v>
      </c>
      <c r="H40" s="3">
        <v>3</v>
      </c>
      <c r="I40" s="3">
        <v>5</v>
      </c>
      <c r="J40" s="3">
        <v>6</v>
      </c>
      <c r="K40" s="3" t="s">
        <v>16</v>
      </c>
      <c r="L40" s="6" t="str">
        <f t="shared" si="0"/>
        <v>New Customer</v>
      </c>
      <c r="M40" s="6" t="str">
        <f t="shared" si="1"/>
        <v>High Risk</v>
      </c>
    </row>
    <row r="41" spans="1:13" x14ac:dyDescent="0.25">
      <c r="A41" s="3" t="s">
        <v>103</v>
      </c>
      <c r="B41" s="4" t="s">
        <v>104</v>
      </c>
      <c r="C41" s="3">
        <v>30</v>
      </c>
      <c r="D41" s="4" t="s">
        <v>19</v>
      </c>
      <c r="E41" s="4" t="s">
        <v>32</v>
      </c>
      <c r="F41" s="4" t="s">
        <v>26</v>
      </c>
      <c r="G41" s="3">
        <v>799</v>
      </c>
      <c r="H41" s="3">
        <v>17</v>
      </c>
      <c r="I41" s="3">
        <v>1</v>
      </c>
      <c r="J41" s="3">
        <v>2</v>
      </c>
      <c r="K41" s="3" t="s">
        <v>22</v>
      </c>
      <c r="L41" s="6" t="str">
        <f t="shared" si="0"/>
        <v>New Customer</v>
      </c>
      <c r="M41" s="6" t="str">
        <f t="shared" si="1"/>
        <v>Low Risk</v>
      </c>
    </row>
    <row r="42" spans="1:13" x14ac:dyDescent="0.25">
      <c r="A42" s="3" t="s">
        <v>105</v>
      </c>
      <c r="B42" s="4" t="s">
        <v>106</v>
      </c>
      <c r="C42" s="3">
        <v>26</v>
      </c>
      <c r="D42" s="4" t="s">
        <v>13</v>
      </c>
      <c r="E42" s="4" t="s">
        <v>14</v>
      </c>
      <c r="F42" s="4" t="s">
        <v>15</v>
      </c>
      <c r="G42" s="3">
        <v>499</v>
      </c>
      <c r="H42" s="3">
        <v>5</v>
      </c>
      <c r="I42" s="3">
        <v>4</v>
      </c>
      <c r="J42" s="3">
        <v>5</v>
      </c>
      <c r="K42" s="3" t="s">
        <v>16</v>
      </c>
      <c r="L42" s="6" t="str">
        <f t="shared" si="0"/>
        <v>New Customer</v>
      </c>
      <c r="M42" s="6" t="str">
        <f t="shared" si="1"/>
        <v>High Risk</v>
      </c>
    </row>
    <row r="43" spans="1:13" x14ac:dyDescent="0.25">
      <c r="A43" s="3" t="s">
        <v>107</v>
      </c>
      <c r="B43" s="4" t="s">
        <v>108</v>
      </c>
      <c r="C43" s="3">
        <v>34</v>
      </c>
      <c r="D43" s="4" t="s">
        <v>19</v>
      </c>
      <c r="E43" s="4" t="s">
        <v>20</v>
      </c>
      <c r="F43" s="4" t="s">
        <v>21</v>
      </c>
      <c r="G43" s="3">
        <v>1099</v>
      </c>
      <c r="H43" s="3">
        <v>39</v>
      </c>
      <c r="I43" s="3">
        <v>0</v>
      </c>
      <c r="J43" s="3">
        <v>1</v>
      </c>
      <c r="K43" s="3" t="s">
        <v>22</v>
      </c>
      <c r="L43" s="6" t="str">
        <f t="shared" si="0"/>
        <v>Loyal Customer</v>
      </c>
      <c r="M43" s="6" t="str">
        <f t="shared" si="1"/>
        <v>Low Risk</v>
      </c>
    </row>
    <row r="44" spans="1:13" x14ac:dyDescent="0.25">
      <c r="A44" s="3" t="s">
        <v>109</v>
      </c>
      <c r="B44" s="4" t="s">
        <v>110</v>
      </c>
      <c r="C44" s="3">
        <v>28</v>
      </c>
      <c r="D44" s="4" t="s">
        <v>13</v>
      </c>
      <c r="E44" s="4" t="s">
        <v>25</v>
      </c>
      <c r="F44" s="4" t="s">
        <v>26</v>
      </c>
      <c r="G44" s="3">
        <v>799</v>
      </c>
      <c r="H44" s="3">
        <v>11</v>
      </c>
      <c r="I44" s="3">
        <v>3</v>
      </c>
      <c r="J44" s="3">
        <v>4</v>
      </c>
      <c r="K44" s="3" t="s">
        <v>16</v>
      </c>
      <c r="L44" s="6" t="str">
        <f t="shared" si="0"/>
        <v>New Customer</v>
      </c>
      <c r="M44" s="6" t="str">
        <f t="shared" si="1"/>
        <v>High Risk</v>
      </c>
    </row>
    <row r="45" spans="1:13" x14ac:dyDescent="0.25">
      <c r="A45" s="3" t="s">
        <v>111</v>
      </c>
      <c r="B45" s="4" t="s">
        <v>112</v>
      </c>
      <c r="C45" s="3">
        <v>37</v>
      </c>
      <c r="D45" s="4" t="s">
        <v>19</v>
      </c>
      <c r="E45" s="4" t="s">
        <v>29</v>
      </c>
      <c r="F45" s="4" t="s">
        <v>21</v>
      </c>
      <c r="G45" s="3">
        <v>999</v>
      </c>
      <c r="H45" s="3">
        <v>33</v>
      </c>
      <c r="I45" s="3">
        <v>0</v>
      </c>
      <c r="J45" s="3">
        <v>1</v>
      </c>
      <c r="K45" s="3" t="s">
        <v>22</v>
      </c>
      <c r="L45" s="6" t="str">
        <f t="shared" si="0"/>
        <v>Loyal Customer</v>
      </c>
      <c r="M45" s="6" t="str">
        <f t="shared" si="1"/>
        <v>Low Risk</v>
      </c>
    </row>
    <row r="46" spans="1:13" x14ac:dyDescent="0.25">
      <c r="A46" s="3" t="s">
        <v>113</v>
      </c>
      <c r="B46" s="4" t="s">
        <v>114</v>
      </c>
      <c r="C46" s="3">
        <v>23</v>
      </c>
      <c r="D46" s="4" t="s">
        <v>13</v>
      </c>
      <c r="E46" s="4" t="s">
        <v>32</v>
      </c>
      <c r="F46" s="4" t="s">
        <v>15</v>
      </c>
      <c r="G46" s="3">
        <v>499</v>
      </c>
      <c r="H46" s="3">
        <v>2</v>
      </c>
      <c r="I46" s="3">
        <v>5</v>
      </c>
      <c r="J46" s="3">
        <v>6</v>
      </c>
      <c r="K46" s="3" t="s">
        <v>16</v>
      </c>
      <c r="L46" s="6" t="str">
        <f t="shared" si="0"/>
        <v>New Customer</v>
      </c>
      <c r="M46" s="6" t="str">
        <f t="shared" si="1"/>
        <v>High Risk</v>
      </c>
    </row>
    <row r="47" spans="1:13" x14ac:dyDescent="0.25">
      <c r="A47" s="3" t="s">
        <v>115</v>
      </c>
      <c r="B47" s="4" t="s">
        <v>116</v>
      </c>
      <c r="C47" s="3">
        <v>31</v>
      </c>
      <c r="D47" s="4" t="s">
        <v>19</v>
      </c>
      <c r="E47" s="4" t="s">
        <v>35</v>
      </c>
      <c r="F47" s="4" t="s">
        <v>26</v>
      </c>
      <c r="G47" s="3">
        <v>699</v>
      </c>
      <c r="H47" s="3">
        <v>18</v>
      </c>
      <c r="I47" s="3">
        <v>1</v>
      </c>
      <c r="J47" s="3">
        <v>2</v>
      </c>
      <c r="K47" s="3" t="s">
        <v>22</v>
      </c>
      <c r="L47" s="6" t="str">
        <f t="shared" si="0"/>
        <v>New Customer</v>
      </c>
      <c r="M47" s="6" t="str">
        <f t="shared" si="1"/>
        <v>Low Risk</v>
      </c>
    </row>
    <row r="48" spans="1:13" x14ac:dyDescent="0.25">
      <c r="A48" s="3" t="s">
        <v>117</v>
      </c>
      <c r="B48" s="4" t="s">
        <v>118</v>
      </c>
      <c r="C48" s="3">
        <v>40</v>
      </c>
      <c r="D48" s="4" t="s">
        <v>13</v>
      </c>
      <c r="E48" s="4" t="s">
        <v>38</v>
      </c>
      <c r="F48" s="4" t="s">
        <v>21</v>
      </c>
      <c r="G48" s="3">
        <v>1199</v>
      </c>
      <c r="H48" s="3">
        <v>46</v>
      </c>
      <c r="I48" s="3">
        <v>0</v>
      </c>
      <c r="J48" s="3">
        <v>0</v>
      </c>
      <c r="K48" s="3" t="s">
        <v>22</v>
      </c>
      <c r="L48" s="6" t="str">
        <f t="shared" si="0"/>
        <v>Loyal Customer</v>
      </c>
      <c r="M48" s="6" t="str">
        <f t="shared" si="1"/>
        <v>Low Risk</v>
      </c>
    </row>
    <row r="49" spans="1:13" x14ac:dyDescent="0.25">
      <c r="A49" s="3" t="s">
        <v>119</v>
      </c>
      <c r="B49" s="4" t="s">
        <v>120</v>
      </c>
      <c r="C49" s="3">
        <v>25</v>
      </c>
      <c r="D49" s="4" t="s">
        <v>19</v>
      </c>
      <c r="E49" s="4" t="s">
        <v>14</v>
      </c>
      <c r="F49" s="4" t="s">
        <v>15</v>
      </c>
      <c r="G49" s="3">
        <v>499</v>
      </c>
      <c r="H49" s="3">
        <v>4</v>
      </c>
      <c r="I49" s="3">
        <v>4</v>
      </c>
      <c r="J49" s="3">
        <v>5</v>
      </c>
      <c r="K49" s="3" t="s">
        <v>16</v>
      </c>
      <c r="L49" s="6" t="str">
        <f t="shared" si="0"/>
        <v>New Customer</v>
      </c>
      <c r="M49" s="6" t="str">
        <f t="shared" si="1"/>
        <v>High Risk</v>
      </c>
    </row>
    <row r="50" spans="1:13" x14ac:dyDescent="0.25">
      <c r="A50" s="3" t="s">
        <v>121</v>
      </c>
      <c r="B50" s="4" t="s">
        <v>122</v>
      </c>
      <c r="C50" s="3">
        <v>32</v>
      </c>
      <c r="D50" s="4" t="s">
        <v>13</v>
      </c>
      <c r="E50" s="4" t="s">
        <v>20</v>
      </c>
      <c r="F50" s="4" t="s">
        <v>26</v>
      </c>
      <c r="G50" s="3">
        <v>799</v>
      </c>
      <c r="H50" s="3">
        <v>15</v>
      </c>
      <c r="I50" s="3">
        <v>2</v>
      </c>
      <c r="J50" s="3">
        <v>3</v>
      </c>
      <c r="K50" s="3" t="s">
        <v>22</v>
      </c>
      <c r="L50" s="6" t="str">
        <f t="shared" si="0"/>
        <v>New Customer</v>
      </c>
      <c r="M50" s="6" t="str">
        <f t="shared" si="1"/>
        <v>Low Risk</v>
      </c>
    </row>
    <row r="51" spans="1:13" x14ac:dyDescent="0.25">
      <c r="A51" s="3" t="s">
        <v>123</v>
      </c>
      <c r="B51" s="4" t="s">
        <v>124</v>
      </c>
      <c r="C51" s="3">
        <v>29</v>
      </c>
      <c r="D51" s="4" t="s">
        <v>19</v>
      </c>
      <c r="E51" s="4" t="s">
        <v>25</v>
      </c>
      <c r="F51" s="4" t="s">
        <v>21</v>
      </c>
      <c r="G51" s="3">
        <v>999</v>
      </c>
      <c r="H51" s="3">
        <v>29</v>
      </c>
      <c r="I51" s="3">
        <v>0</v>
      </c>
      <c r="J51" s="3">
        <v>1</v>
      </c>
      <c r="K51" s="3" t="s">
        <v>22</v>
      </c>
      <c r="L51" s="6" t="str">
        <f t="shared" si="0"/>
        <v>Loyal Customer</v>
      </c>
      <c r="M51" s="6" t="str">
        <f t="shared" si="1"/>
        <v>Low Risk</v>
      </c>
    </row>
    <row r="52" spans="1:13" x14ac:dyDescent="0.25">
      <c r="A52" s="3" t="s">
        <v>125</v>
      </c>
      <c r="B52" s="4" t="s">
        <v>126</v>
      </c>
      <c r="C52" s="3">
        <v>22</v>
      </c>
      <c r="D52" s="4" t="s">
        <v>13</v>
      </c>
      <c r="E52" s="4" t="s">
        <v>29</v>
      </c>
      <c r="F52" s="4" t="s">
        <v>15</v>
      </c>
      <c r="G52" s="3">
        <v>499</v>
      </c>
      <c r="H52" s="3">
        <v>3</v>
      </c>
      <c r="I52" s="3">
        <v>5</v>
      </c>
      <c r="J52" s="3">
        <v>6</v>
      </c>
      <c r="K52" s="3" t="s">
        <v>16</v>
      </c>
      <c r="L52" s="6" t="str">
        <f t="shared" si="0"/>
        <v>New Customer</v>
      </c>
      <c r="M52" s="6" t="str">
        <f t="shared" si="1"/>
        <v>High Risk</v>
      </c>
    </row>
    <row r="53" spans="1:13" x14ac:dyDescent="0.25">
      <c r="A53" s="3" t="s">
        <v>127</v>
      </c>
      <c r="B53" s="4" t="s">
        <v>128</v>
      </c>
      <c r="C53" s="3">
        <v>36</v>
      </c>
      <c r="D53" s="4" t="s">
        <v>19</v>
      </c>
      <c r="E53" s="4" t="s">
        <v>32</v>
      </c>
      <c r="F53" s="4" t="s">
        <v>21</v>
      </c>
      <c r="G53" s="3">
        <v>1099</v>
      </c>
      <c r="H53" s="3">
        <v>41</v>
      </c>
      <c r="I53" s="3">
        <v>0</v>
      </c>
      <c r="J53" s="3">
        <v>0</v>
      </c>
      <c r="K53" s="3" t="s">
        <v>22</v>
      </c>
      <c r="L53" s="6" t="str">
        <f t="shared" si="0"/>
        <v>Loyal Customer</v>
      </c>
      <c r="M53" s="6" t="str">
        <f t="shared" si="1"/>
        <v>Low Risk</v>
      </c>
    </row>
    <row r="54" spans="1:13" x14ac:dyDescent="0.25">
      <c r="A54" s="3" t="s">
        <v>129</v>
      </c>
      <c r="B54" s="4" t="s">
        <v>130</v>
      </c>
      <c r="C54" s="3">
        <v>30</v>
      </c>
      <c r="D54" s="4" t="s">
        <v>13</v>
      </c>
      <c r="E54" s="4" t="s">
        <v>35</v>
      </c>
      <c r="F54" s="4" t="s">
        <v>26</v>
      </c>
      <c r="G54" s="3">
        <v>699</v>
      </c>
      <c r="H54" s="3">
        <v>13</v>
      </c>
      <c r="I54" s="3">
        <v>2</v>
      </c>
      <c r="J54" s="3">
        <v>3</v>
      </c>
      <c r="K54" s="3" t="s">
        <v>22</v>
      </c>
      <c r="L54" s="6" t="str">
        <f t="shared" si="0"/>
        <v>New Customer</v>
      </c>
      <c r="M54" s="6" t="str">
        <f t="shared" si="1"/>
        <v>Low Risk</v>
      </c>
    </row>
    <row r="55" spans="1:13" x14ac:dyDescent="0.25">
      <c r="A55" s="3" t="s">
        <v>131</v>
      </c>
      <c r="B55" s="4" t="s">
        <v>132</v>
      </c>
      <c r="C55" s="3">
        <v>24</v>
      </c>
      <c r="D55" s="4" t="s">
        <v>19</v>
      </c>
      <c r="E55" s="4" t="s">
        <v>38</v>
      </c>
      <c r="F55" s="4" t="s">
        <v>15</v>
      </c>
      <c r="G55" s="3">
        <v>499</v>
      </c>
      <c r="H55" s="3">
        <v>4</v>
      </c>
      <c r="I55" s="3">
        <v>4</v>
      </c>
      <c r="J55" s="3">
        <v>4</v>
      </c>
      <c r="K55" s="3" t="s">
        <v>16</v>
      </c>
      <c r="L55" s="6" t="str">
        <f t="shared" si="0"/>
        <v>New Customer</v>
      </c>
      <c r="M55" s="6" t="str">
        <f t="shared" si="1"/>
        <v>High Risk</v>
      </c>
    </row>
    <row r="56" spans="1:13" x14ac:dyDescent="0.25">
      <c r="A56" s="3" t="s">
        <v>133</v>
      </c>
      <c r="B56" s="4" t="s">
        <v>134</v>
      </c>
      <c r="C56" s="3">
        <v>38</v>
      </c>
      <c r="D56" s="4" t="s">
        <v>13</v>
      </c>
      <c r="E56" s="4" t="s">
        <v>14</v>
      </c>
      <c r="F56" s="4" t="s">
        <v>21</v>
      </c>
      <c r="G56" s="3">
        <v>1199</v>
      </c>
      <c r="H56" s="3">
        <v>47</v>
      </c>
      <c r="I56" s="3">
        <v>0</v>
      </c>
      <c r="J56" s="3">
        <v>1</v>
      </c>
      <c r="K56" s="3" t="s">
        <v>16</v>
      </c>
      <c r="L56" s="6" t="str">
        <f t="shared" si="0"/>
        <v>Loyal Customer</v>
      </c>
      <c r="M56" s="6" t="str">
        <f t="shared" si="1"/>
        <v>High Risk</v>
      </c>
    </row>
    <row r="57" spans="1:13" x14ac:dyDescent="0.25">
      <c r="A57" s="3" t="s">
        <v>135</v>
      </c>
      <c r="B57" s="4" t="s">
        <v>136</v>
      </c>
      <c r="C57" s="3">
        <v>27</v>
      </c>
      <c r="D57" s="4" t="s">
        <v>19</v>
      </c>
      <c r="E57" s="4" t="s">
        <v>20</v>
      </c>
      <c r="F57" s="4" t="s">
        <v>26</v>
      </c>
      <c r="G57" s="3">
        <v>799</v>
      </c>
      <c r="H57" s="3">
        <v>16</v>
      </c>
      <c r="I57" s="3">
        <v>1</v>
      </c>
      <c r="J57" s="3">
        <v>2</v>
      </c>
      <c r="K57" s="3" t="s">
        <v>22</v>
      </c>
      <c r="L57" s="6" t="str">
        <f t="shared" si="0"/>
        <v>New Customer</v>
      </c>
      <c r="M57" s="6" t="str">
        <f t="shared" si="1"/>
        <v>Low Risk</v>
      </c>
    </row>
    <row r="58" spans="1:13" x14ac:dyDescent="0.25">
      <c r="A58" s="3" t="s">
        <v>137</v>
      </c>
      <c r="B58" s="4" t="s">
        <v>138</v>
      </c>
      <c r="C58" s="3">
        <v>21</v>
      </c>
      <c r="D58" s="4" t="s">
        <v>13</v>
      </c>
      <c r="E58" s="4" t="s">
        <v>25</v>
      </c>
      <c r="F58" s="4" t="s">
        <v>15</v>
      </c>
      <c r="G58" s="3">
        <v>499</v>
      </c>
      <c r="H58" s="3">
        <v>1</v>
      </c>
      <c r="I58" s="3">
        <v>5</v>
      </c>
      <c r="J58" s="3">
        <v>7</v>
      </c>
      <c r="K58" s="3" t="s">
        <v>16</v>
      </c>
      <c r="L58" s="6" t="str">
        <f t="shared" si="0"/>
        <v>New Customer</v>
      </c>
      <c r="M58" s="6" t="str">
        <f t="shared" si="1"/>
        <v>High Risk</v>
      </c>
    </row>
    <row r="59" spans="1:13" x14ac:dyDescent="0.25">
      <c r="A59" s="3" t="s">
        <v>139</v>
      </c>
      <c r="B59" s="4" t="s">
        <v>140</v>
      </c>
      <c r="C59" s="3">
        <v>35</v>
      </c>
      <c r="D59" s="4" t="s">
        <v>19</v>
      </c>
      <c r="E59" s="4" t="s">
        <v>29</v>
      </c>
      <c r="F59" s="4" t="s">
        <v>21</v>
      </c>
      <c r="G59" s="3">
        <v>999</v>
      </c>
      <c r="H59" s="3">
        <v>34</v>
      </c>
      <c r="I59" s="3">
        <v>0</v>
      </c>
      <c r="J59" s="3">
        <v>1</v>
      </c>
      <c r="K59" s="3" t="s">
        <v>22</v>
      </c>
      <c r="L59" s="6" t="str">
        <f t="shared" si="0"/>
        <v>Loyal Customer</v>
      </c>
      <c r="M59" s="6" t="str">
        <f t="shared" si="1"/>
        <v>Low Risk</v>
      </c>
    </row>
    <row r="60" spans="1:13" x14ac:dyDescent="0.25">
      <c r="A60" s="3" t="s">
        <v>141</v>
      </c>
      <c r="B60" s="4" t="s">
        <v>142</v>
      </c>
      <c r="C60" s="3">
        <v>41</v>
      </c>
      <c r="D60" s="4" t="s">
        <v>13</v>
      </c>
      <c r="E60" s="4" t="s">
        <v>32</v>
      </c>
      <c r="F60" s="4" t="s">
        <v>21</v>
      </c>
      <c r="G60" s="3">
        <v>1199</v>
      </c>
      <c r="H60" s="3">
        <v>49</v>
      </c>
      <c r="I60" s="3">
        <v>0</v>
      </c>
      <c r="J60" s="3">
        <v>0</v>
      </c>
      <c r="K60" s="3" t="s">
        <v>22</v>
      </c>
      <c r="L60" s="6" t="str">
        <f t="shared" si="0"/>
        <v>Loyal Customer</v>
      </c>
      <c r="M60" s="6" t="str">
        <f t="shared" si="1"/>
        <v>Low Risk</v>
      </c>
    </row>
    <row r="61" spans="1:13" x14ac:dyDescent="0.25">
      <c r="A61" s="3" t="s">
        <v>143</v>
      </c>
      <c r="B61" s="4" t="s">
        <v>144</v>
      </c>
      <c r="C61" s="3">
        <v>28</v>
      </c>
      <c r="D61" s="4" t="s">
        <v>19</v>
      </c>
      <c r="E61" s="4" t="s">
        <v>35</v>
      </c>
      <c r="F61" s="4" t="s">
        <v>26</v>
      </c>
      <c r="G61" s="3">
        <v>699</v>
      </c>
      <c r="H61" s="3">
        <v>17</v>
      </c>
      <c r="I61" s="3">
        <v>2</v>
      </c>
      <c r="J61" s="3">
        <v>2</v>
      </c>
      <c r="K61" s="3" t="s">
        <v>22</v>
      </c>
      <c r="L61" s="6" t="str">
        <f t="shared" si="0"/>
        <v>New Customer</v>
      </c>
      <c r="M61" s="6" t="str">
        <f t="shared" si="1"/>
        <v>Low Risk</v>
      </c>
    </row>
    <row r="62" spans="1:13" x14ac:dyDescent="0.25">
      <c r="A62" s="3" t="s">
        <v>145</v>
      </c>
      <c r="B62" s="4" t="s">
        <v>146</v>
      </c>
      <c r="C62" s="3">
        <v>25</v>
      </c>
      <c r="D62" s="4" t="s">
        <v>13</v>
      </c>
      <c r="E62" s="4" t="s">
        <v>38</v>
      </c>
      <c r="F62" s="4" t="s">
        <v>15</v>
      </c>
      <c r="G62" s="3">
        <v>499</v>
      </c>
      <c r="H62" s="3">
        <v>5</v>
      </c>
      <c r="I62" s="3">
        <v>4</v>
      </c>
      <c r="J62" s="3">
        <v>5</v>
      </c>
      <c r="K62" s="3" t="s">
        <v>16</v>
      </c>
      <c r="L62" s="6" t="str">
        <f t="shared" si="0"/>
        <v>New Customer</v>
      </c>
      <c r="M62" s="6" t="str">
        <f t="shared" si="1"/>
        <v>High Risk</v>
      </c>
    </row>
    <row r="63" spans="1:13" x14ac:dyDescent="0.25">
      <c r="A63" s="3" t="s">
        <v>147</v>
      </c>
      <c r="B63" s="4" t="s">
        <v>148</v>
      </c>
      <c r="C63" s="3">
        <v>33</v>
      </c>
      <c r="D63" s="4" t="s">
        <v>19</v>
      </c>
      <c r="E63" s="4" t="s">
        <v>14</v>
      </c>
      <c r="F63" s="4" t="s">
        <v>21</v>
      </c>
      <c r="G63" s="3">
        <v>999</v>
      </c>
      <c r="H63" s="3">
        <v>31</v>
      </c>
      <c r="I63" s="3">
        <v>1</v>
      </c>
      <c r="J63" s="3">
        <v>1</v>
      </c>
      <c r="K63" s="3" t="s">
        <v>22</v>
      </c>
      <c r="L63" s="6" t="str">
        <f t="shared" si="0"/>
        <v>Loyal Customer</v>
      </c>
      <c r="M63" s="6" t="str">
        <f t="shared" si="1"/>
        <v>Low Risk</v>
      </c>
    </row>
    <row r="64" spans="1:13" x14ac:dyDescent="0.25">
      <c r="A64" s="3" t="s">
        <v>149</v>
      </c>
      <c r="B64" s="4" t="s">
        <v>150</v>
      </c>
      <c r="C64" s="3">
        <v>27</v>
      </c>
      <c r="D64" s="4" t="s">
        <v>13</v>
      </c>
      <c r="E64" s="4" t="s">
        <v>20</v>
      </c>
      <c r="F64" s="4" t="s">
        <v>26</v>
      </c>
      <c r="G64" s="3">
        <v>799</v>
      </c>
      <c r="H64" s="3">
        <v>10</v>
      </c>
      <c r="I64" s="3">
        <v>3</v>
      </c>
      <c r="J64" s="3">
        <v>4</v>
      </c>
      <c r="K64" s="3" t="s">
        <v>16</v>
      </c>
      <c r="L64" s="6" t="str">
        <f t="shared" si="0"/>
        <v>New Customer</v>
      </c>
      <c r="M64" s="6" t="str">
        <f t="shared" si="1"/>
        <v>High Risk</v>
      </c>
    </row>
    <row r="65" spans="1:13" x14ac:dyDescent="0.25">
      <c r="A65" s="3" t="s">
        <v>151</v>
      </c>
      <c r="B65" s="4" t="s">
        <v>152</v>
      </c>
      <c r="C65" s="3">
        <v>39</v>
      </c>
      <c r="D65" s="4" t="s">
        <v>19</v>
      </c>
      <c r="E65" s="4" t="s">
        <v>25</v>
      </c>
      <c r="F65" s="4" t="s">
        <v>21</v>
      </c>
      <c r="G65" s="3">
        <v>1099</v>
      </c>
      <c r="H65" s="3">
        <v>42</v>
      </c>
      <c r="I65" s="3">
        <v>0</v>
      </c>
      <c r="J65" s="3">
        <v>0</v>
      </c>
      <c r="K65" s="3" t="s">
        <v>22</v>
      </c>
      <c r="L65" s="6" t="str">
        <f t="shared" si="0"/>
        <v>Loyal Customer</v>
      </c>
      <c r="M65" s="6" t="str">
        <f t="shared" si="1"/>
        <v>Low Risk</v>
      </c>
    </row>
    <row r="66" spans="1:13" x14ac:dyDescent="0.25">
      <c r="A66" s="3" t="s">
        <v>153</v>
      </c>
      <c r="B66" s="4" t="s">
        <v>154</v>
      </c>
      <c r="C66" s="3">
        <v>22</v>
      </c>
      <c r="D66" s="4" t="s">
        <v>13</v>
      </c>
      <c r="E66" s="4" t="s">
        <v>29</v>
      </c>
      <c r="F66" s="4" t="s">
        <v>15</v>
      </c>
      <c r="G66" s="3">
        <v>499</v>
      </c>
      <c r="H66" s="3">
        <v>2</v>
      </c>
      <c r="I66" s="3">
        <v>5</v>
      </c>
      <c r="J66" s="3">
        <v>6</v>
      </c>
      <c r="K66" s="3" t="s">
        <v>16</v>
      </c>
      <c r="L66" s="6" t="str">
        <f t="shared" si="0"/>
        <v>New Customer</v>
      </c>
      <c r="M66" s="6" t="str">
        <f t="shared" si="1"/>
        <v>High Risk</v>
      </c>
    </row>
    <row r="67" spans="1:13" x14ac:dyDescent="0.25">
      <c r="A67" s="3" t="s">
        <v>155</v>
      </c>
      <c r="B67" s="4" t="s">
        <v>156</v>
      </c>
      <c r="C67" s="3">
        <v>30</v>
      </c>
      <c r="D67" s="4" t="s">
        <v>19</v>
      </c>
      <c r="E67" s="4" t="s">
        <v>32</v>
      </c>
      <c r="F67" s="4" t="s">
        <v>26</v>
      </c>
      <c r="G67" s="3">
        <v>699</v>
      </c>
      <c r="H67" s="3">
        <v>19</v>
      </c>
      <c r="I67" s="3">
        <v>1</v>
      </c>
      <c r="J67" s="3">
        <v>2</v>
      </c>
      <c r="K67" s="3" t="s">
        <v>22</v>
      </c>
      <c r="L67" s="6" t="str">
        <f t="shared" ref="L67:L121" si="2">IF(H67&gt;=24,"Loyal Customer","New Customer")</f>
        <v>New Customer</v>
      </c>
      <c r="M67" s="6" t="str">
        <f t="shared" ref="M67:M121" si="3">IF(K67="Yes","High Risk","Low Risk")</f>
        <v>Low Risk</v>
      </c>
    </row>
    <row r="68" spans="1:13" x14ac:dyDescent="0.25">
      <c r="A68" s="3" t="s">
        <v>157</v>
      </c>
      <c r="B68" s="4" t="s">
        <v>158</v>
      </c>
      <c r="C68" s="3">
        <v>43</v>
      </c>
      <c r="D68" s="4" t="s">
        <v>13</v>
      </c>
      <c r="E68" s="4" t="s">
        <v>35</v>
      </c>
      <c r="F68" s="4" t="s">
        <v>21</v>
      </c>
      <c r="G68" s="3">
        <v>1199</v>
      </c>
      <c r="H68" s="3">
        <v>52</v>
      </c>
      <c r="I68" s="3">
        <v>0</v>
      </c>
      <c r="J68" s="3">
        <v>0</v>
      </c>
      <c r="K68" s="3" t="s">
        <v>22</v>
      </c>
      <c r="L68" s="6" t="str">
        <f t="shared" si="2"/>
        <v>Loyal Customer</v>
      </c>
      <c r="M68" s="6" t="str">
        <f t="shared" si="3"/>
        <v>Low Risk</v>
      </c>
    </row>
    <row r="69" spans="1:13" x14ac:dyDescent="0.25">
      <c r="A69" s="3" t="s">
        <v>159</v>
      </c>
      <c r="B69" s="4" t="s">
        <v>160</v>
      </c>
      <c r="C69" s="3">
        <v>26</v>
      </c>
      <c r="D69" s="4" t="s">
        <v>19</v>
      </c>
      <c r="E69" s="4" t="s">
        <v>38</v>
      </c>
      <c r="F69" s="4" t="s">
        <v>15</v>
      </c>
      <c r="G69" s="3">
        <v>499</v>
      </c>
      <c r="H69" s="3">
        <v>6</v>
      </c>
      <c r="I69" s="3">
        <v>4</v>
      </c>
      <c r="J69" s="3">
        <v>5</v>
      </c>
      <c r="K69" s="3" t="s">
        <v>16</v>
      </c>
      <c r="L69" s="6" t="str">
        <f t="shared" si="2"/>
        <v>New Customer</v>
      </c>
      <c r="M69" s="6" t="str">
        <f t="shared" si="3"/>
        <v>High Risk</v>
      </c>
    </row>
    <row r="70" spans="1:13" x14ac:dyDescent="0.25">
      <c r="A70" s="3" t="s">
        <v>161</v>
      </c>
      <c r="B70" s="4" t="s">
        <v>162</v>
      </c>
      <c r="C70" s="3">
        <v>34</v>
      </c>
      <c r="D70" s="4" t="s">
        <v>13</v>
      </c>
      <c r="E70" s="4" t="s">
        <v>14</v>
      </c>
      <c r="F70" s="4" t="s">
        <v>21</v>
      </c>
      <c r="G70" s="3">
        <v>999</v>
      </c>
      <c r="H70" s="3">
        <v>36</v>
      </c>
      <c r="I70" s="3">
        <v>1</v>
      </c>
      <c r="J70" s="3">
        <v>1</v>
      </c>
      <c r="K70" s="3" t="s">
        <v>22</v>
      </c>
      <c r="L70" s="6" t="str">
        <f t="shared" si="2"/>
        <v>Loyal Customer</v>
      </c>
      <c r="M70" s="6" t="str">
        <f t="shared" si="3"/>
        <v>Low Risk</v>
      </c>
    </row>
    <row r="71" spans="1:13" x14ac:dyDescent="0.25">
      <c r="A71" s="3" t="s">
        <v>163</v>
      </c>
      <c r="B71" s="4" t="s">
        <v>164</v>
      </c>
      <c r="C71" s="3">
        <v>29</v>
      </c>
      <c r="D71" s="4" t="s">
        <v>19</v>
      </c>
      <c r="E71" s="4" t="s">
        <v>20</v>
      </c>
      <c r="F71" s="4" t="s">
        <v>26</v>
      </c>
      <c r="G71" s="3">
        <v>799</v>
      </c>
      <c r="H71" s="3">
        <v>14</v>
      </c>
      <c r="I71" s="3">
        <v>2</v>
      </c>
      <c r="J71" s="3">
        <v>3</v>
      </c>
      <c r="K71" s="3" t="s">
        <v>22</v>
      </c>
      <c r="L71" s="6" t="str">
        <f t="shared" si="2"/>
        <v>New Customer</v>
      </c>
      <c r="M71" s="6" t="str">
        <f t="shared" si="3"/>
        <v>Low Risk</v>
      </c>
    </row>
    <row r="72" spans="1:13" x14ac:dyDescent="0.25">
      <c r="A72" s="3" t="s">
        <v>165</v>
      </c>
      <c r="B72" s="4" t="s">
        <v>166</v>
      </c>
      <c r="C72" s="3">
        <v>23</v>
      </c>
      <c r="D72" s="4" t="s">
        <v>13</v>
      </c>
      <c r="E72" s="4" t="s">
        <v>25</v>
      </c>
      <c r="F72" s="4" t="s">
        <v>15</v>
      </c>
      <c r="G72" s="3">
        <v>499</v>
      </c>
      <c r="H72" s="3">
        <v>3</v>
      </c>
      <c r="I72" s="3">
        <v>5</v>
      </c>
      <c r="J72" s="3">
        <v>6</v>
      </c>
      <c r="K72" s="3" t="s">
        <v>16</v>
      </c>
      <c r="L72" s="6" t="str">
        <f t="shared" si="2"/>
        <v>New Customer</v>
      </c>
      <c r="M72" s="6" t="str">
        <f t="shared" si="3"/>
        <v>High Risk</v>
      </c>
    </row>
    <row r="73" spans="1:13" x14ac:dyDescent="0.25">
      <c r="A73" s="3" t="s">
        <v>167</v>
      </c>
      <c r="B73" s="4" t="s">
        <v>168</v>
      </c>
      <c r="C73" s="3">
        <v>37</v>
      </c>
      <c r="D73" s="4" t="s">
        <v>19</v>
      </c>
      <c r="E73" s="4" t="s">
        <v>29</v>
      </c>
      <c r="F73" s="4" t="s">
        <v>21</v>
      </c>
      <c r="G73" s="3">
        <v>1099</v>
      </c>
      <c r="H73" s="3">
        <v>40</v>
      </c>
      <c r="I73" s="3">
        <v>0</v>
      </c>
      <c r="J73" s="3">
        <v>1</v>
      </c>
      <c r="K73" s="3" t="s">
        <v>22</v>
      </c>
      <c r="L73" s="6" t="str">
        <f t="shared" si="2"/>
        <v>Loyal Customer</v>
      </c>
      <c r="M73" s="6" t="str">
        <f t="shared" si="3"/>
        <v>Low Risk</v>
      </c>
    </row>
    <row r="74" spans="1:13" x14ac:dyDescent="0.25">
      <c r="A74" s="3" t="s">
        <v>169</v>
      </c>
      <c r="B74" s="4" t="s">
        <v>170</v>
      </c>
      <c r="C74" s="3">
        <v>40</v>
      </c>
      <c r="D74" s="4" t="s">
        <v>13</v>
      </c>
      <c r="E74" s="4" t="s">
        <v>32</v>
      </c>
      <c r="F74" s="4" t="s">
        <v>21</v>
      </c>
      <c r="G74" s="3">
        <v>1199</v>
      </c>
      <c r="H74" s="3">
        <v>48</v>
      </c>
      <c r="I74" s="3">
        <v>0</v>
      </c>
      <c r="J74" s="3">
        <v>0</v>
      </c>
      <c r="K74" s="3" t="s">
        <v>22</v>
      </c>
      <c r="L74" s="6" t="str">
        <f t="shared" si="2"/>
        <v>Loyal Customer</v>
      </c>
      <c r="M74" s="6" t="str">
        <f t="shared" si="3"/>
        <v>Low Risk</v>
      </c>
    </row>
    <row r="75" spans="1:13" x14ac:dyDescent="0.25">
      <c r="A75" s="3" t="s">
        <v>171</v>
      </c>
      <c r="B75" s="4" t="s">
        <v>172</v>
      </c>
      <c r="C75" s="3">
        <v>28</v>
      </c>
      <c r="D75" s="4" t="s">
        <v>19</v>
      </c>
      <c r="E75" s="4" t="s">
        <v>35</v>
      </c>
      <c r="F75" s="4" t="s">
        <v>26</v>
      </c>
      <c r="G75" s="3">
        <v>699</v>
      </c>
      <c r="H75" s="3">
        <v>18</v>
      </c>
      <c r="I75" s="3">
        <v>2</v>
      </c>
      <c r="J75" s="3">
        <v>2</v>
      </c>
      <c r="K75" s="3" t="s">
        <v>22</v>
      </c>
      <c r="L75" s="6" t="str">
        <f t="shared" si="2"/>
        <v>New Customer</v>
      </c>
      <c r="M75" s="6" t="str">
        <f t="shared" si="3"/>
        <v>Low Risk</v>
      </c>
    </row>
    <row r="76" spans="1:13" x14ac:dyDescent="0.25">
      <c r="A76" s="3" t="s">
        <v>173</v>
      </c>
      <c r="B76" s="4" t="s">
        <v>174</v>
      </c>
      <c r="C76" s="3">
        <v>24</v>
      </c>
      <c r="D76" s="4" t="s">
        <v>13</v>
      </c>
      <c r="E76" s="4" t="s">
        <v>38</v>
      </c>
      <c r="F76" s="4" t="s">
        <v>15</v>
      </c>
      <c r="G76" s="3">
        <v>499</v>
      </c>
      <c r="H76" s="3">
        <v>4</v>
      </c>
      <c r="I76" s="3">
        <v>4</v>
      </c>
      <c r="J76" s="3">
        <v>5</v>
      </c>
      <c r="K76" s="3" t="s">
        <v>16</v>
      </c>
      <c r="L76" s="6" t="str">
        <f t="shared" si="2"/>
        <v>New Customer</v>
      </c>
      <c r="M76" s="6" t="str">
        <f t="shared" si="3"/>
        <v>High Risk</v>
      </c>
    </row>
    <row r="77" spans="1:13" x14ac:dyDescent="0.25">
      <c r="A77" s="3" t="s">
        <v>175</v>
      </c>
      <c r="B77" s="4" t="s">
        <v>176</v>
      </c>
      <c r="C77" s="3">
        <v>32</v>
      </c>
      <c r="D77" s="4" t="s">
        <v>19</v>
      </c>
      <c r="E77" s="4" t="s">
        <v>14</v>
      </c>
      <c r="F77" s="4" t="s">
        <v>21</v>
      </c>
      <c r="G77" s="3">
        <v>999</v>
      </c>
      <c r="H77" s="3">
        <v>30</v>
      </c>
      <c r="I77" s="3">
        <v>1</v>
      </c>
      <c r="J77" s="3">
        <v>1</v>
      </c>
      <c r="K77" s="3" t="s">
        <v>22</v>
      </c>
      <c r="L77" s="6" t="str">
        <f t="shared" si="2"/>
        <v>Loyal Customer</v>
      </c>
      <c r="M77" s="6" t="str">
        <f t="shared" si="3"/>
        <v>Low Risk</v>
      </c>
    </row>
    <row r="78" spans="1:13" x14ac:dyDescent="0.25">
      <c r="A78" s="3" t="s">
        <v>177</v>
      </c>
      <c r="B78" s="4" t="s">
        <v>178</v>
      </c>
      <c r="C78" s="3">
        <v>26</v>
      </c>
      <c r="D78" s="4" t="s">
        <v>13</v>
      </c>
      <c r="E78" s="4" t="s">
        <v>20</v>
      </c>
      <c r="F78" s="4" t="s">
        <v>26</v>
      </c>
      <c r="G78" s="3">
        <v>799</v>
      </c>
      <c r="H78" s="3">
        <v>9</v>
      </c>
      <c r="I78" s="3">
        <v>3</v>
      </c>
      <c r="J78" s="3">
        <v>4</v>
      </c>
      <c r="K78" s="3" t="s">
        <v>16</v>
      </c>
      <c r="L78" s="6" t="str">
        <f t="shared" si="2"/>
        <v>New Customer</v>
      </c>
      <c r="M78" s="6" t="str">
        <f t="shared" si="3"/>
        <v>High Risk</v>
      </c>
    </row>
    <row r="79" spans="1:13" x14ac:dyDescent="0.25">
      <c r="A79" s="3" t="s">
        <v>179</v>
      </c>
      <c r="B79" s="4" t="s">
        <v>180</v>
      </c>
      <c r="C79" s="3">
        <v>38</v>
      </c>
      <c r="D79" s="4" t="s">
        <v>19</v>
      </c>
      <c r="E79" s="4" t="s">
        <v>25</v>
      </c>
      <c r="F79" s="4" t="s">
        <v>21</v>
      </c>
      <c r="G79" s="3">
        <v>1099</v>
      </c>
      <c r="H79" s="3">
        <v>43</v>
      </c>
      <c r="I79" s="3">
        <v>0</v>
      </c>
      <c r="J79" s="3">
        <v>0</v>
      </c>
      <c r="K79" s="3" t="s">
        <v>22</v>
      </c>
      <c r="L79" s="6" t="str">
        <f t="shared" si="2"/>
        <v>Loyal Customer</v>
      </c>
      <c r="M79" s="6" t="str">
        <f t="shared" si="3"/>
        <v>Low Risk</v>
      </c>
    </row>
    <row r="80" spans="1:13" x14ac:dyDescent="0.25">
      <c r="A80" s="3" t="s">
        <v>181</v>
      </c>
      <c r="B80" s="4" t="s">
        <v>182</v>
      </c>
      <c r="C80" s="3">
        <v>22</v>
      </c>
      <c r="D80" s="4" t="s">
        <v>13</v>
      </c>
      <c r="E80" s="4" t="s">
        <v>29</v>
      </c>
      <c r="F80" s="4" t="s">
        <v>15</v>
      </c>
      <c r="G80" s="3">
        <v>499</v>
      </c>
      <c r="H80" s="3">
        <v>2</v>
      </c>
      <c r="I80" s="3">
        <v>5</v>
      </c>
      <c r="J80" s="3">
        <v>6</v>
      </c>
      <c r="K80" s="3" t="s">
        <v>16</v>
      </c>
      <c r="L80" s="6" t="str">
        <f t="shared" si="2"/>
        <v>New Customer</v>
      </c>
      <c r="M80" s="6" t="str">
        <f t="shared" si="3"/>
        <v>High Risk</v>
      </c>
    </row>
    <row r="81" spans="1:13" x14ac:dyDescent="0.25">
      <c r="A81" s="3" t="s">
        <v>183</v>
      </c>
      <c r="B81" s="4" t="s">
        <v>184</v>
      </c>
      <c r="C81" s="3">
        <v>31</v>
      </c>
      <c r="D81" s="4" t="s">
        <v>19</v>
      </c>
      <c r="E81" s="4" t="s">
        <v>32</v>
      </c>
      <c r="F81" s="4" t="s">
        <v>26</v>
      </c>
      <c r="G81" s="3">
        <v>699</v>
      </c>
      <c r="H81" s="3">
        <v>20</v>
      </c>
      <c r="I81" s="3">
        <v>1</v>
      </c>
      <c r="J81" s="3">
        <v>2</v>
      </c>
      <c r="K81" s="3" t="s">
        <v>22</v>
      </c>
      <c r="L81" s="6" t="str">
        <f t="shared" si="2"/>
        <v>New Customer</v>
      </c>
      <c r="M81" s="6" t="str">
        <f t="shared" si="3"/>
        <v>Low Risk</v>
      </c>
    </row>
    <row r="82" spans="1:13" x14ac:dyDescent="0.25">
      <c r="A82" s="3" t="s">
        <v>185</v>
      </c>
      <c r="B82" s="4" t="s">
        <v>186</v>
      </c>
      <c r="C82" s="3">
        <v>25</v>
      </c>
      <c r="D82" s="4" t="s">
        <v>13</v>
      </c>
      <c r="E82" s="4" t="s">
        <v>14</v>
      </c>
      <c r="F82" s="4" t="s">
        <v>15</v>
      </c>
      <c r="G82" s="3">
        <v>499</v>
      </c>
      <c r="H82" s="3">
        <v>4</v>
      </c>
      <c r="I82" s="3">
        <v>4</v>
      </c>
      <c r="J82" s="3">
        <v>5</v>
      </c>
      <c r="K82" s="3" t="s">
        <v>16</v>
      </c>
      <c r="L82" s="6" t="str">
        <f t="shared" si="2"/>
        <v>New Customer</v>
      </c>
      <c r="M82" s="6" t="str">
        <f t="shared" si="3"/>
        <v>High Risk</v>
      </c>
    </row>
    <row r="83" spans="1:13" x14ac:dyDescent="0.25">
      <c r="A83" s="3" t="s">
        <v>187</v>
      </c>
      <c r="B83" s="4" t="s">
        <v>188</v>
      </c>
      <c r="C83" s="3">
        <v>35</v>
      </c>
      <c r="D83" s="4" t="s">
        <v>19</v>
      </c>
      <c r="E83" s="4" t="s">
        <v>20</v>
      </c>
      <c r="F83" s="4" t="s">
        <v>21</v>
      </c>
      <c r="G83" s="3">
        <v>1099</v>
      </c>
      <c r="H83" s="3">
        <v>38</v>
      </c>
      <c r="I83" s="3">
        <v>0</v>
      </c>
      <c r="J83" s="3">
        <v>1</v>
      </c>
      <c r="K83" s="3" t="s">
        <v>22</v>
      </c>
      <c r="L83" s="6" t="str">
        <f t="shared" si="2"/>
        <v>Loyal Customer</v>
      </c>
      <c r="M83" s="6" t="str">
        <f t="shared" si="3"/>
        <v>Low Risk</v>
      </c>
    </row>
    <row r="84" spans="1:13" x14ac:dyDescent="0.25">
      <c r="A84" s="3" t="s">
        <v>189</v>
      </c>
      <c r="B84" s="4" t="s">
        <v>190</v>
      </c>
      <c r="C84" s="3">
        <v>29</v>
      </c>
      <c r="D84" s="4" t="s">
        <v>13</v>
      </c>
      <c r="E84" s="4" t="s">
        <v>25</v>
      </c>
      <c r="F84" s="4" t="s">
        <v>26</v>
      </c>
      <c r="G84" s="3">
        <v>799</v>
      </c>
      <c r="H84" s="3">
        <v>12</v>
      </c>
      <c r="I84" s="3">
        <v>3</v>
      </c>
      <c r="J84" s="3">
        <v>4</v>
      </c>
      <c r="K84" s="3" t="s">
        <v>16</v>
      </c>
      <c r="L84" s="6" t="str">
        <f t="shared" si="2"/>
        <v>New Customer</v>
      </c>
      <c r="M84" s="6" t="str">
        <f t="shared" si="3"/>
        <v>High Risk</v>
      </c>
    </row>
    <row r="85" spans="1:13" x14ac:dyDescent="0.25">
      <c r="A85" s="3" t="s">
        <v>191</v>
      </c>
      <c r="B85" s="4" t="s">
        <v>192</v>
      </c>
      <c r="C85" s="3">
        <v>36</v>
      </c>
      <c r="D85" s="4" t="s">
        <v>19</v>
      </c>
      <c r="E85" s="4" t="s">
        <v>29</v>
      </c>
      <c r="F85" s="4" t="s">
        <v>21</v>
      </c>
      <c r="G85" s="3">
        <v>999</v>
      </c>
      <c r="H85" s="3">
        <v>34</v>
      </c>
      <c r="I85" s="3">
        <v>0</v>
      </c>
      <c r="J85" s="3">
        <v>1</v>
      </c>
      <c r="K85" s="3" t="s">
        <v>22</v>
      </c>
      <c r="L85" s="6" t="str">
        <f t="shared" si="2"/>
        <v>Loyal Customer</v>
      </c>
      <c r="M85" s="6" t="str">
        <f t="shared" si="3"/>
        <v>Low Risk</v>
      </c>
    </row>
    <row r="86" spans="1:13" x14ac:dyDescent="0.25">
      <c r="A86" s="3" t="s">
        <v>193</v>
      </c>
      <c r="B86" s="4" t="s">
        <v>194</v>
      </c>
      <c r="C86" s="3">
        <v>23</v>
      </c>
      <c r="D86" s="4" t="s">
        <v>13</v>
      </c>
      <c r="E86" s="4" t="s">
        <v>32</v>
      </c>
      <c r="F86" s="4" t="s">
        <v>15</v>
      </c>
      <c r="G86" s="3">
        <v>499</v>
      </c>
      <c r="H86" s="3">
        <v>2</v>
      </c>
      <c r="I86" s="3">
        <v>5</v>
      </c>
      <c r="J86" s="3">
        <v>6</v>
      </c>
      <c r="K86" s="3" t="s">
        <v>16</v>
      </c>
      <c r="L86" s="6" t="str">
        <f t="shared" si="2"/>
        <v>New Customer</v>
      </c>
      <c r="M86" s="6" t="str">
        <f t="shared" si="3"/>
        <v>High Risk</v>
      </c>
    </row>
    <row r="87" spans="1:13" x14ac:dyDescent="0.25">
      <c r="A87" s="3" t="s">
        <v>195</v>
      </c>
      <c r="B87" s="4" t="s">
        <v>196</v>
      </c>
      <c r="C87" s="3">
        <v>30</v>
      </c>
      <c r="D87" s="4" t="s">
        <v>19</v>
      </c>
      <c r="E87" s="4" t="s">
        <v>35</v>
      </c>
      <c r="F87" s="4" t="s">
        <v>26</v>
      </c>
      <c r="G87" s="3">
        <v>699</v>
      </c>
      <c r="H87" s="3">
        <v>17</v>
      </c>
      <c r="I87" s="3">
        <v>1</v>
      </c>
      <c r="J87" s="3">
        <v>2</v>
      </c>
      <c r="K87" s="3" t="s">
        <v>22</v>
      </c>
      <c r="L87" s="6" t="str">
        <f t="shared" si="2"/>
        <v>New Customer</v>
      </c>
      <c r="M87" s="6" t="str">
        <f t="shared" si="3"/>
        <v>Low Risk</v>
      </c>
    </row>
    <row r="88" spans="1:13" x14ac:dyDescent="0.25">
      <c r="A88" s="3" t="s">
        <v>197</v>
      </c>
      <c r="B88" s="4" t="s">
        <v>198</v>
      </c>
      <c r="C88" s="3">
        <v>42</v>
      </c>
      <c r="D88" s="4" t="s">
        <v>13</v>
      </c>
      <c r="E88" s="4" t="s">
        <v>38</v>
      </c>
      <c r="F88" s="4" t="s">
        <v>21</v>
      </c>
      <c r="G88" s="3">
        <v>1199</v>
      </c>
      <c r="H88" s="3">
        <v>50</v>
      </c>
      <c r="I88" s="3">
        <v>0</v>
      </c>
      <c r="J88" s="3">
        <v>0</v>
      </c>
      <c r="K88" s="3" t="s">
        <v>22</v>
      </c>
      <c r="L88" s="6" t="str">
        <f t="shared" si="2"/>
        <v>Loyal Customer</v>
      </c>
      <c r="M88" s="6" t="str">
        <f t="shared" si="3"/>
        <v>Low Risk</v>
      </c>
    </row>
    <row r="89" spans="1:13" x14ac:dyDescent="0.25">
      <c r="A89" s="3" t="s">
        <v>199</v>
      </c>
      <c r="B89" s="4" t="s">
        <v>200</v>
      </c>
      <c r="C89" s="3">
        <v>26</v>
      </c>
      <c r="D89" s="4" t="s">
        <v>19</v>
      </c>
      <c r="E89" s="4" t="s">
        <v>14</v>
      </c>
      <c r="F89" s="4" t="s">
        <v>15</v>
      </c>
      <c r="G89" s="3">
        <v>499</v>
      </c>
      <c r="H89" s="3">
        <v>5</v>
      </c>
      <c r="I89" s="3">
        <v>4</v>
      </c>
      <c r="J89" s="3">
        <v>5</v>
      </c>
      <c r="K89" s="3" t="s">
        <v>16</v>
      </c>
      <c r="L89" s="6" t="str">
        <f t="shared" si="2"/>
        <v>New Customer</v>
      </c>
      <c r="M89" s="6" t="str">
        <f t="shared" si="3"/>
        <v>High Risk</v>
      </c>
    </row>
    <row r="90" spans="1:13" x14ac:dyDescent="0.25">
      <c r="A90" s="3" t="s">
        <v>201</v>
      </c>
      <c r="B90" s="4" t="s">
        <v>202</v>
      </c>
      <c r="C90" s="3">
        <v>33</v>
      </c>
      <c r="D90" s="4" t="s">
        <v>13</v>
      </c>
      <c r="E90" s="4" t="s">
        <v>20</v>
      </c>
      <c r="F90" s="4" t="s">
        <v>26</v>
      </c>
      <c r="G90" s="3">
        <v>799</v>
      </c>
      <c r="H90" s="3">
        <v>16</v>
      </c>
      <c r="I90" s="3">
        <v>2</v>
      </c>
      <c r="J90" s="3">
        <v>3</v>
      </c>
      <c r="K90" s="3" t="s">
        <v>22</v>
      </c>
      <c r="L90" s="6" t="str">
        <f t="shared" si="2"/>
        <v>New Customer</v>
      </c>
      <c r="M90" s="6" t="str">
        <f t="shared" si="3"/>
        <v>Low Risk</v>
      </c>
    </row>
    <row r="91" spans="1:13" x14ac:dyDescent="0.25">
      <c r="A91" s="3" t="s">
        <v>203</v>
      </c>
      <c r="B91" s="4" t="s">
        <v>204</v>
      </c>
      <c r="C91" s="3">
        <v>28</v>
      </c>
      <c r="D91" s="4" t="s">
        <v>19</v>
      </c>
      <c r="E91" s="4" t="s">
        <v>25</v>
      </c>
      <c r="F91" s="4" t="s">
        <v>21</v>
      </c>
      <c r="G91" s="3">
        <v>999</v>
      </c>
      <c r="H91" s="3">
        <v>28</v>
      </c>
      <c r="I91" s="3">
        <v>0</v>
      </c>
      <c r="J91" s="3">
        <v>1</v>
      </c>
      <c r="K91" s="3" t="s">
        <v>22</v>
      </c>
      <c r="L91" s="6" t="str">
        <f t="shared" si="2"/>
        <v>Loyal Customer</v>
      </c>
      <c r="M91" s="6" t="str">
        <f t="shared" si="3"/>
        <v>Low Risk</v>
      </c>
    </row>
    <row r="92" spans="1:13" x14ac:dyDescent="0.25">
      <c r="A92" s="3" t="s">
        <v>205</v>
      </c>
      <c r="B92" s="4" t="s">
        <v>206</v>
      </c>
      <c r="C92" s="3">
        <v>22</v>
      </c>
      <c r="D92" s="4" t="s">
        <v>13</v>
      </c>
      <c r="E92" s="4" t="s">
        <v>29</v>
      </c>
      <c r="F92" s="4" t="s">
        <v>15</v>
      </c>
      <c r="G92" s="3">
        <v>499</v>
      </c>
      <c r="H92" s="3">
        <v>1</v>
      </c>
      <c r="I92" s="3">
        <v>5</v>
      </c>
      <c r="J92" s="3">
        <v>7</v>
      </c>
      <c r="K92" s="3" t="s">
        <v>16</v>
      </c>
      <c r="L92" s="6" t="str">
        <f t="shared" si="2"/>
        <v>New Customer</v>
      </c>
      <c r="M92" s="6" t="str">
        <f t="shared" si="3"/>
        <v>High Risk</v>
      </c>
    </row>
    <row r="93" spans="1:13" x14ac:dyDescent="0.25">
      <c r="A93" s="3" t="s">
        <v>207</v>
      </c>
      <c r="B93" s="4" t="s">
        <v>208</v>
      </c>
      <c r="C93" s="3">
        <v>37</v>
      </c>
      <c r="D93" s="4" t="s">
        <v>19</v>
      </c>
      <c r="E93" s="4" t="s">
        <v>32</v>
      </c>
      <c r="F93" s="4" t="s">
        <v>21</v>
      </c>
      <c r="G93" s="3">
        <v>1099</v>
      </c>
      <c r="H93" s="3">
        <v>41</v>
      </c>
      <c r="I93" s="3">
        <v>0</v>
      </c>
      <c r="J93" s="3">
        <v>0</v>
      </c>
      <c r="K93" s="3" t="s">
        <v>22</v>
      </c>
      <c r="L93" s="6" t="str">
        <f t="shared" si="2"/>
        <v>Loyal Customer</v>
      </c>
      <c r="M93" s="6" t="str">
        <f t="shared" si="3"/>
        <v>Low Risk</v>
      </c>
    </row>
    <row r="94" spans="1:13" x14ac:dyDescent="0.25">
      <c r="A94" s="3" t="s">
        <v>209</v>
      </c>
      <c r="B94" s="4" t="s">
        <v>210</v>
      </c>
      <c r="C94" s="3">
        <v>31</v>
      </c>
      <c r="D94" s="4" t="s">
        <v>13</v>
      </c>
      <c r="E94" s="4" t="s">
        <v>35</v>
      </c>
      <c r="F94" s="4" t="s">
        <v>26</v>
      </c>
      <c r="G94" s="3">
        <v>699</v>
      </c>
      <c r="H94" s="3">
        <v>14</v>
      </c>
      <c r="I94" s="3">
        <v>2</v>
      </c>
      <c r="J94" s="3">
        <v>3</v>
      </c>
      <c r="K94" s="3" t="s">
        <v>22</v>
      </c>
      <c r="L94" s="6" t="str">
        <f t="shared" si="2"/>
        <v>New Customer</v>
      </c>
      <c r="M94" s="6" t="str">
        <f t="shared" si="3"/>
        <v>Low Risk</v>
      </c>
    </row>
    <row r="95" spans="1:13" x14ac:dyDescent="0.25">
      <c r="A95" s="3" t="s">
        <v>211</v>
      </c>
      <c r="B95" s="4" t="s">
        <v>212</v>
      </c>
      <c r="C95" s="3">
        <v>24</v>
      </c>
      <c r="D95" s="4" t="s">
        <v>19</v>
      </c>
      <c r="E95" s="4" t="s">
        <v>38</v>
      </c>
      <c r="F95" s="4" t="s">
        <v>15</v>
      </c>
      <c r="G95" s="3">
        <v>499</v>
      </c>
      <c r="H95" s="3">
        <v>3</v>
      </c>
      <c r="I95" s="3">
        <v>4</v>
      </c>
      <c r="J95" s="3">
        <v>4</v>
      </c>
      <c r="K95" s="3" t="s">
        <v>16</v>
      </c>
      <c r="L95" s="6" t="str">
        <f t="shared" si="2"/>
        <v>New Customer</v>
      </c>
      <c r="M95" s="6" t="str">
        <f t="shared" si="3"/>
        <v>High Risk</v>
      </c>
    </row>
    <row r="96" spans="1:13" x14ac:dyDescent="0.25">
      <c r="A96" s="3" t="s">
        <v>213</v>
      </c>
      <c r="B96" s="4" t="s">
        <v>214</v>
      </c>
      <c r="C96" s="3">
        <v>39</v>
      </c>
      <c r="D96" s="4" t="s">
        <v>13</v>
      </c>
      <c r="E96" s="4" t="s">
        <v>14</v>
      </c>
      <c r="F96" s="4" t="s">
        <v>21</v>
      </c>
      <c r="G96" s="3">
        <v>1199</v>
      </c>
      <c r="H96" s="3">
        <v>46</v>
      </c>
      <c r="I96" s="3">
        <v>0</v>
      </c>
      <c r="J96" s="3">
        <v>1</v>
      </c>
      <c r="K96" s="3" t="s">
        <v>16</v>
      </c>
      <c r="L96" s="6" t="str">
        <f t="shared" si="2"/>
        <v>Loyal Customer</v>
      </c>
      <c r="M96" s="6" t="str">
        <f t="shared" si="3"/>
        <v>High Risk</v>
      </c>
    </row>
    <row r="97" spans="1:13" x14ac:dyDescent="0.25">
      <c r="A97" s="3" t="s">
        <v>215</v>
      </c>
      <c r="B97" s="4" t="s">
        <v>216</v>
      </c>
      <c r="C97" s="3">
        <v>27</v>
      </c>
      <c r="D97" s="4" t="s">
        <v>19</v>
      </c>
      <c r="E97" s="4" t="s">
        <v>20</v>
      </c>
      <c r="F97" s="4" t="s">
        <v>26</v>
      </c>
      <c r="G97" s="3">
        <v>799</v>
      </c>
      <c r="H97" s="3">
        <v>18</v>
      </c>
      <c r="I97" s="3">
        <v>1</v>
      </c>
      <c r="J97" s="3">
        <v>2</v>
      </c>
      <c r="K97" s="3" t="s">
        <v>22</v>
      </c>
      <c r="L97" s="6" t="str">
        <f t="shared" si="2"/>
        <v>New Customer</v>
      </c>
      <c r="M97" s="6" t="str">
        <f t="shared" si="3"/>
        <v>Low Risk</v>
      </c>
    </row>
    <row r="98" spans="1:13" x14ac:dyDescent="0.25">
      <c r="A98" s="3" t="s">
        <v>217</v>
      </c>
      <c r="B98" s="4" t="s">
        <v>218</v>
      </c>
      <c r="C98" s="3">
        <v>21</v>
      </c>
      <c r="D98" s="4" t="s">
        <v>13</v>
      </c>
      <c r="E98" s="4" t="s">
        <v>25</v>
      </c>
      <c r="F98" s="4" t="s">
        <v>15</v>
      </c>
      <c r="G98" s="3">
        <v>499</v>
      </c>
      <c r="H98" s="3">
        <v>2</v>
      </c>
      <c r="I98" s="3">
        <v>5</v>
      </c>
      <c r="J98" s="3">
        <v>6</v>
      </c>
      <c r="K98" s="3" t="s">
        <v>16</v>
      </c>
      <c r="L98" s="6" t="str">
        <f t="shared" si="2"/>
        <v>New Customer</v>
      </c>
      <c r="M98" s="6" t="str">
        <f t="shared" si="3"/>
        <v>High Risk</v>
      </c>
    </row>
    <row r="99" spans="1:13" x14ac:dyDescent="0.25">
      <c r="A99" s="3" t="s">
        <v>219</v>
      </c>
      <c r="B99" s="4" t="s">
        <v>220</v>
      </c>
      <c r="C99" s="3">
        <v>34</v>
      </c>
      <c r="D99" s="4" t="s">
        <v>19</v>
      </c>
      <c r="E99" s="4" t="s">
        <v>29</v>
      </c>
      <c r="F99" s="4" t="s">
        <v>21</v>
      </c>
      <c r="G99" s="3">
        <v>999</v>
      </c>
      <c r="H99" s="3">
        <v>35</v>
      </c>
      <c r="I99" s="3">
        <v>0</v>
      </c>
      <c r="J99" s="3">
        <v>1</v>
      </c>
      <c r="K99" s="3" t="s">
        <v>16</v>
      </c>
      <c r="L99" s="6" t="str">
        <f t="shared" si="2"/>
        <v>Loyal Customer</v>
      </c>
      <c r="M99" s="6" t="str">
        <f t="shared" si="3"/>
        <v>High Risk</v>
      </c>
    </row>
    <row r="100" spans="1:13" x14ac:dyDescent="0.25">
      <c r="A100" s="3" t="s">
        <v>221</v>
      </c>
      <c r="B100" s="4" t="s">
        <v>222</v>
      </c>
      <c r="C100" s="3">
        <v>41</v>
      </c>
      <c r="D100" s="4" t="s">
        <v>13</v>
      </c>
      <c r="E100" s="4" t="s">
        <v>32</v>
      </c>
      <c r="F100" s="4" t="s">
        <v>21</v>
      </c>
      <c r="G100" s="3">
        <v>1199</v>
      </c>
      <c r="H100" s="3">
        <v>48</v>
      </c>
      <c r="I100" s="3">
        <v>0</v>
      </c>
      <c r="J100" s="3">
        <v>0</v>
      </c>
      <c r="K100" s="3" t="s">
        <v>22</v>
      </c>
      <c r="L100" s="6" t="str">
        <f t="shared" si="2"/>
        <v>Loyal Customer</v>
      </c>
      <c r="M100" s="6" t="str">
        <f t="shared" si="3"/>
        <v>Low Risk</v>
      </c>
    </row>
    <row r="101" spans="1:13" x14ac:dyDescent="0.25">
      <c r="A101" s="3" t="s">
        <v>223</v>
      </c>
      <c r="B101" s="4" t="s">
        <v>224</v>
      </c>
      <c r="C101" s="3">
        <v>29</v>
      </c>
      <c r="D101" s="4" t="s">
        <v>19</v>
      </c>
      <c r="E101" s="4" t="s">
        <v>35</v>
      </c>
      <c r="F101" s="4" t="s">
        <v>26</v>
      </c>
      <c r="G101" s="3">
        <v>699</v>
      </c>
      <c r="H101" s="3">
        <v>19</v>
      </c>
      <c r="I101" s="3">
        <v>2</v>
      </c>
      <c r="J101" s="3">
        <v>2</v>
      </c>
      <c r="K101" s="3" t="s">
        <v>22</v>
      </c>
      <c r="L101" s="6" t="str">
        <f t="shared" si="2"/>
        <v>New Customer</v>
      </c>
      <c r="M101" s="6" t="str">
        <f t="shared" si="3"/>
        <v>Low Risk</v>
      </c>
    </row>
    <row r="102" spans="1:13" x14ac:dyDescent="0.25">
      <c r="A102" s="3" t="s">
        <v>225</v>
      </c>
      <c r="B102" s="4" t="s">
        <v>226</v>
      </c>
      <c r="C102" s="3">
        <v>24</v>
      </c>
      <c r="D102" s="4" t="s">
        <v>13</v>
      </c>
      <c r="E102" s="4" t="s">
        <v>38</v>
      </c>
      <c r="F102" s="4" t="s">
        <v>15</v>
      </c>
      <c r="G102" s="3">
        <v>499</v>
      </c>
      <c r="H102" s="3">
        <v>4</v>
      </c>
      <c r="I102" s="3">
        <v>4</v>
      </c>
      <c r="J102" s="3">
        <v>5</v>
      </c>
      <c r="K102" s="3" t="s">
        <v>16</v>
      </c>
      <c r="L102" s="6" t="str">
        <f t="shared" si="2"/>
        <v>New Customer</v>
      </c>
      <c r="M102" s="6" t="str">
        <f t="shared" si="3"/>
        <v>High Risk</v>
      </c>
    </row>
    <row r="103" spans="1:13" x14ac:dyDescent="0.25">
      <c r="A103" s="3" t="s">
        <v>227</v>
      </c>
      <c r="B103" s="4" t="s">
        <v>228</v>
      </c>
      <c r="C103" s="3">
        <v>32</v>
      </c>
      <c r="D103" s="4" t="s">
        <v>19</v>
      </c>
      <c r="E103" s="4" t="s">
        <v>14</v>
      </c>
      <c r="F103" s="4" t="s">
        <v>21</v>
      </c>
      <c r="G103" s="3">
        <v>999</v>
      </c>
      <c r="H103" s="3">
        <v>30</v>
      </c>
      <c r="I103" s="3">
        <v>1</v>
      </c>
      <c r="J103" s="3">
        <v>1</v>
      </c>
      <c r="K103" s="3" t="s">
        <v>22</v>
      </c>
      <c r="L103" s="6" t="str">
        <f t="shared" si="2"/>
        <v>Loyal Customer</v>
      </c>
      <c r="M103" s="6" t="str">
        <f t="shared" si="3"/>
        <v>Low Risk</v>
      </c>
    </row>
    <row r="104" spans="1:13" x14ac:dyDescent="0.25">
      <c r="A104" s="3" t="s">
        <v>229</v>
      </c>
      <c r="B104" s="4" t="s">
        <v>230</v>
      </c>
      <c r="C104" s="3">
        <v>27</v>
      </c>
      <c r="D104" s="4" t="s">
        <v>13</v>
      </c>
      <c r="E104" s="4" t="s">
        <v>20</v>
      </c>
      <c r="F104" s="4" t="s">
        <v>26</v>
      </c>
      <c r="G104" s="3">
        <v>799</v>
      </c>
      <c r="H104" s="3">
        <v>10</v>
      </c>
      <c r="I104" s="3">
        <v>3</v>
      </c>
      <c r="J104" s="3">
        <v>4</v>
      </c>
      <c r="K104" s="3" t="s">
        <v>16</v>
      </c>
      <c r="L104" s="6" t="str">
        <f t="shared" si="2"/>
        <v>New Customer</v>
      </c>
      <c r="M104" s="6" t="str">
        <f t="shared" si="3"/>
        <v>High Risk</v>
      </c>
    </row>
    <row r="105" spans="1:13" x14ac:dyDescent="0.25">
      <c r="A105" s="3" t="s">
        <v>231</v>
      </c>
      <c r="B105" s="4" t="s">
        <v>232</v>
      </c>
      <c r="C105" s="3">
        <v>38</v>
      </c>
      <c r="D105" s="4" t="s">
        <v>19</v>
      </c>
      <c r="E105" s="4" t="s">
        <v>25</v>
      </c>
      <c r="F105" s="4" t="s">
        <v>21</v>
      </c>
      <c r="G105" s="3">
        <v>1099</v>
      </c>
      <c r="H105" s="3">
        <v>42</v>
      </c>
      <c r="I105" s="3">
        <v>0</v>
      </c>
      <c r="J105" s="3">
        <v>0</v>
      </c>
      <c r="K105" s="3" t="s">
        <v>22</v>
      </c>
      <c r="L105" s="6" t="str">
        <f t="shared" si="2"/>
        <v>Loyal Customer</v>
      </c>
      <c r="M105" s="6" t="str">
        <f t="shared" si="3"/>
        <v>Low Risk</v>
      </c>
    </row>
    <row r="106" spans="1:13" x14ac:dyDescent="0.25">
      <c r="A106" s="3" t="s">
        <v>233</v>
      </c>
      <c r="B106" s="4" t="s">
        <v>234</v>
      </c>
      <c r="C106" s="3">
        <v>22</v>
      </c>
      <c r="D106" s="4" t="s">
        <v>13</v>
      </c>
      <c r="E106" s="4" t="s">
        <v>29</v>
      </c>
      <c r="F106" s="4" t="s">
        <v>15</v>
      </c>
      <c r="G106" s="3">
        <v>499</v>
      </c>
      <c r="H106" s="3">
        <v>2</v>
      </c>
      <c r="I106" s="3">
        <v>5</v>
      </c>
      <c r="J106" s="3">
        <v>6</v>
      </c>
      <c r="K106" s="3" t="s">
        <v>16</v>
      </c>
      <c r="L106" s="6" t="str">
        <f t="shared" si="2"/>
        <v>New Customer</v>
      </c>
      <c r="M106" s="6" t="str">
        <f t="shared" si="3"/>
        <v>High Risk</v>
      </c>
    </row>
    <row r="107" spans="1:13" x14ac:dyDescent="0.25">
      <c r="A107" s="3" t="s">
        <v>235</v>
      </c>
      <c r="B107" s="4" t="s">
        <v>236</v>
      </c>
      <c r="C107" s="3">
        <v>30</v>
      </c>
      <c r="D107" s="4" t="s">
        <v>19</v>
      </c>
      <c r="E107" s="4" t="s">
        <v>32</v>
      </c>
      <c r="F107" s="4" t="s">
        <v>26</v>
      </c>
      <c r="G107" s="3">
        <v>699</v>
      </c>
      <c r="H107" s="3">
        <v>20</v>
      </c>
      <c r="I107" s="3">
        <v>1</v>
      </c>
      <c r="J107" s="3">
        <v>2</v>
      </c>
      <c r="K107" s="3" t="s">
        <v>22</v>
      </c>
      <c r="L107" s="6" t="str">
        <f t="shared" si="2"/>
        <v>New Customer</v>
      </c>
      <c r="M107" s="6" t="str">
        <f t="shared" si="3"/>
        <v>Low Risk</v>
      </c>
    </row>
    <row r="108" spans="1:13" x14ac:dyDescent="0.25">
      <c r="A108" s="3" t="s">
        <v>237</v>
      </c>
      <c r="B108" s="4" t="s">
        <v>238</v>
      </c>
      <c r="C108" s="3">
        <v>43</v>
      </c>
      <c r="D108" s="4" t="s">
        <v>13</v>
      </c>
      <c r="E108" s="4" t="s">
        <v>35</v>
      </c>
      <c r="F108" s="4" t="s">
        <v>21</v>
      </c>
      <c r="G108" s="3">
        <v>1199</v>
      </c>
      <c r="H108" s="3">
        <v>52</v>
      </c>
      <c r="I108" s="3">
        <v>0</v>
      </c>
      <c r="J108" s="3">
        <v>0</v>
      </c>
      <c r="K108" s="3" t="s">
        <v>22</v>
      </c>
      <c r="L108" s="6" t="str">
        <f t="shared" si="2"/>
        <v>Loyal Customer</v>
      </c>
      <c r="M108" s="6" t="str">
        <f t="shared" si="3"/>
        <v>Low Risk</v>
      </c>
    </row>
    <row r="109" spans="1:13" x14ac:dyDescent="0.25">
      <c r="A109" s="3" t="s">
        <v>239</v>
      </c>
      <c r="B109" s="4" t="s">
        <v>240</v>
      </c>
      <c r="C109" s="3">
        <v>25</v>
      </c>
      <c r="D109" s="4" t="s">
        <v>19</v>
      </c>
      <c r="E109" s="4" t="s">
        <v>38</v>
      </c>
      <c r="F109" s="4" t="s">
        <v>15</v>
      </c>
      <c r="G109" s="3">
        <v>499</v>
      </c>
      <c r="H109" s="3">
        <v>5</v>
      </c>
      <c r="I109" s="3">
        <v>4</v>
      </c>
      <c r="J109" s="3">
        <v>5</v>
      </c>
      <c r="K109" s="3" t="s">
        <v>16</v>
      </c>
      <c r="L109" s="6" t="str">
        <f t="shared" si="2"/>
        <v>New Customer</v>
      </c>
      <c r="M109" s="6" t="str">
        <f t="shared" si="3"/>
        <v>High Risk</v>
      </c>
    </row>
    <row r="110" spans="1:13" x14ac:dyDescent="0.25">
      <c r="A110" s="3" t="s">
        <v>241</v>
      </c>
      <c r="B110" s="4" t="s">
        <v>242</v>
      </c>
      <c r="C110" s="3">
        <v>35</v>
      </c>
      <c r="D110" s="4" t="s">
        <v>13</v>
      </c>
      <c r="E110" s="4" t="s">
        <v>14</v>
      </c>
      <c r="F110" s="4" t="s">
        <v>21</v>
      </c>
      <c r="G110" s="3">
        <v>999</v>
      </c>
      <c r="H110" s="3">
        <v>37</v>
      </c>
      <c r="I110" s="3">
        <v>1</v>
      </c>
      <c r="J110" s="3">
        <v>1</v>
      </c>
      <c r="K110" s="3" t="s">
        <v>22</v>
      </c>
      <c r="L110" s="6" t="str">
        <f t="shared" si="2"/>
        <v>Loyal Customer</v>
      </c>
      <c r="M110" s="6" t="str">
        <f t="shared" si="3"/>
        <v>Low Risk</v>
      </c>
    </row>
    <row r="111" spans="1:13" x14ac:dyDescent="0.25">
      <c r="A111" s="3" t="s">
        <v>243</v>
      </c>
      <c r="B111" s="4" t="s">
        <v>244</v>
      </c>
      <c r="C111" s="3">
        <v>28</v>
      </c>
      <c r="D111" s="4" t="s">
        <v>19</v>
      </c>
      <c r="E111" s="4" t="s">
        <v>20</v>
      </c>
      <c r="F111" s="4" t="s">
        <v>26</v>
      </c>
      <c r="G111" s="3">
        <v>799</v>
      </c>
      <c r="H111" s="3">
        <v>15</v>
      </c>
      <c r="I111" s="3">
        <v>2</v>
      </c>
      <c r="J111" s="3">
        <v>3</v>
      </c>
      <c r="K111" s="3" t="s">
        <v>22</v>
      </c>
      <c r="L111" s="6" t="str">
        <f t="shared" si="2"/>
        <v>New Customer</v>
      </c>
      <c r="M111" s="6" t="str">
        <f t="shared" si="3"/>
        <v>Low Risk</v>
      </c>
    </row>
    <row r="112" spans="1:13" x14ac:dyDescent="0.25">
      <c r="A112" s="3" t="s">
        <v>245</v>
      </c>
      <c r="B112" s="4" t="s">
        <v>146</v>
      </c>
      <c r="C112" s="3">
        <v>23</v>
      </c>
      <c r="D112" s="4" t="s">
        <v>13</v>
      </c>
      <c r="E112" s="4" t="s">
        <v>25</v>
      </c>
      <c r="F112" s="4" t="s">
        <v>15</v>
      </c>
      <c r="G112" s="3">
        <v>499</v>
      </c>
      <c r="H112" s="3">
        <v>3</v>
      </c>
      <c r="I112" s="3">
        <v>5</v>
      </c>
      <c r="J112" s="3">
        <v>6</v>
      </c>
      <c r="K112" s="3" t="s">
        <v>16</v>
      </c>
      <c r="L112" s="6" t="str">
        <f t="shared" si="2"/>
        <v>New Customer</v>
      </c>
      <c r="M112" s="6" t="str">
        <f t="shared" si="3"/>
        <v>High Risk</v>
      </c>
    </row>
    <row r="113" spans="1:13" x14ac:dyDescent="0.25">
      <c r="A113" s="3" t="s">
        <v>246</v>
      </c>
      <c r="B113" s="4" t="s">
        <v>247</v>
      </c>
      <c r="C113" s="3">
        <v>36</v>
      </c>
      <c r="D113" s="4" t="s">
        <v>19</v>
      </c>
      <c r="E113" s="4" t="s">
        <v>29</v>
      </c>
      <c r="F113" s="4" t="s">
        <v>21</v>
      </c>
      <c r="G113" s="3">
        <v>1099</v>
      </c>
      <c r="H113" s="3">
        <v>40</v>
      </c>
      <c r="I113" s="3">
        <v>0</v>
      </c>
      <c r="J113" s="3">
        <v>1</v>
      </c>
      <c r="K113" s="3" t="s">
        <v>16</v>
      </c>
      <c r="L113" s="6" t="str">
        <f t="shared" si="2"/>
        <v>Loyal Customer</v>
      </c>
      <c r="M113" s="6" t="str">
        <f t="shared" si="3"/>
        <v>High Risk</v>
      </c>
    </row>
    <row r="114" spans="1:13" x14ac:dyDescent="0.25">
      <c r="A114" s="3" t="s">
        <v>248</v>
      </c>
      <c r="B114" s="4" t="s">
        <v>249</v>
      </c>
      <c r="C114" s="3">
        <v>40</v>
      </c>
      <c r="D114" s="4" t="s">
        <v>13</v>
      </c>
      <c r="E114" s="4" t="s">
        <v>32</v>
      </c>
      <c r="F114" s="4" t="s">
        <v>21</v>
      </c>
      <c r="G114" s="3">
        <v>1199</v>
      </c>
      <c r="H114" s="3">
        <v>49</v>
      </c>
      <c r="I114" s="3">
        <v>0</v>
      </c>
      <c r="J114" s="3">
        <v>0</v>
      </c>
      <c r="K114" s="3" t="s">
        <v>22</v>
      </c>
      <c r="L114" s="6" t="str">
        <f t="shared" si="2"/>
        <v>Loyal Customer</v>
      </c>
      <c r="M114" s="6" t="str">
        <f t="shared" si="3"/>
        <v>Low Risk</v>
      </c>
    </row>
    <row r="115" spans="1:13" x14ac:dyDescent="0.25">
      <c r="A115" s="3" t="s">
        <v>250</v>
      </c>
      <c r="B115" s="4" t="s">
        <v>251</v>
      </c>
      <c r="C115" s="3">
        <v>27</v>
      </c>
      <c r="D115" s="4" t="s">
        <v>19</v>
      </c>
      <c r="E115" s="4" t="s">
        <v>35</v>
      </c>
      <c r="F115" s="4" t="s">
        <v>26</v>
      </c>
      <c r="G115" s="3">
        <v>699</v>
      </c>
      <c r="H115" s="3">
        <v>18</v>
      </c>
      <c r="I115" s="3">
        <v>2</v>
      </c>
      <c r="J115" s="3">
        <v>2</v>
      </c>
      <c r="K115" s="3" t="s">
        <v>22</v>
      </c>
      <c r="L115" s="6" t="str">
        <f t="shared" si="2"/>
        <v>New Customer</v>
      </c>
      <c r="M115" s="6" t="str">
        <f t="shared" si="3"/>
        <v>Low Risk</v>
      </c>
    </row>
    <row r="116" spans="1:13" x14ac:dyDescent="0.25">
      <c r="A116" s="3" t="s">
        <v>252</v>
      </c>
      <c r="B116" s="4" t="s">
        <v>253</v>
      </c>
      <c r="C116" s="3">
        <v>24</v>
      </c>
      <c r="D116" s="4" t="s">
        <v>13</v>
      </c>
      <c r="E116" s="4" t="s">
        <v>38</v>
      </c>
      <c r="F116" s="4" t="s">
        <v>15</v>
      </c>
      <c r="G116" s="3">
        <v>499</v>
      </c>
      <c r="H116" s="3">
        <v>4</v>
      </c>
      <c r="I116" s="3">
        <v>4</v>
      </c>
      <c r="J116" s="3">
        <v>5</v>
      </c>
      <c r="K116" s="3" t="s">
        <v>16</v>
      </c>
      <c r="L116" s="6" t="str">
        <f t="shared" si="2"/>
        <v>New Customer</v>
      </c>
      <c r="M116" s="6" t="str">
        <f t="shared" si="3"/>
        <v>High Risk</v>
      </c>
    </row>
    <row r="117" spans="1:13" x14ac:dyDescent="0.25">
      <c r="A117" s="3" t="s">
        <v>254</v>
      </c>
      <c r="B117" s="4" t="s">
        <v>255</v>
      </c>
      <c r="C117" s="3">
        <v>31</v>
      </c>
      <c r="D117" s="4" t="s">
        <v>19</v>
      </c>
      <c r="E117" s="4" t="s">
        <v>14</v>
      </c>
      <c r="F117" s="4" t="s">
        <v>21</v>
      </c>
      <c r="G117" s="3">
        <v>999</v>
      </c>
      <c r="H117" s="3">
        <v>31</v>
      </c>
      <c r="I117" s="3">
        <v>1</v>
      </c>
      <c r="J117" s="3">
        <v>1</v>
      </c>
      <c r="K117" s="3" t="s">
        <v>22</v>
      </c>
      <c r="L117" s="6" t="str">
        <f t="shared" si="2"/>
        <v>Loyal Customer</v>
      </c>
      <c r="M117" s="6" t="str">
        <f t="shared" si="3"/>
        <v>Low Risk</v>
      </c>
    </row>
    <row r="118" spans="1:13" x14ac:dyDescent="0.25">
      <c r="A118" s="3" t="s">
        <v>256</v>
      </c>
      <c r="B118" s="4" t="s">
        <v>257</v>
      </c>
      <c r="C118" s="3">
        <v>26</v>
      </c>
      <c r="D118" s="4" t="s">
        <v>13</v>
      </c>
      <c r="E118" s="4" t="s">
        <v>20</v>
      </c>
      <c r="F118" s="4" t="s">
        <v>26</v>
      </c>
      <c r="G118" s="3">
        <v>799</v>
      </c>
      <c r="H118" s="3">
        <v>11</v>
      </c>
      <c r="I118" s="3">
        <v>3</v>
      </c>
      <c r="J118" s="3">
        <v>4</v>
      </c>
      <c r="K118" s="3" t="s">
        <v>16</v>
      </c>
      <c r="L118" s="6" t="str">
        <f t="shared" si="2"/>
        <v>New Customer</v>
      </c>
      <c r="M118" s="6" t="str">
        <f t="shared" si="3"/>
        <v>High Risk</v>
      </c>
    </row>
    <row r="119" spans="1:13" x14ac:dyDescent="0.25">
      <c r="A119" s="3" t="s">
        <v>258</v>
      </c>
      <c r="B119" s="4" t="s">
        <v>259</v>
      </c>
      <c r="C119" s="3">
        <v>37</v>
      </c>
      <c r="D119" s="4" t="s">
        <v>19</v>
      </c>
      <c r="E119" s="4" t="s">
        <v>25</v>
      </c>
      <c r="F119" s="4" t="s">
        <v>21</v>
      </c>
      <c r="G119" s="3">
        <v>1099</v>
      </c>
      <c r="H119" s="3">
        <v>43</v>
      </c>
      <c r="I119" s="3">
        <v>0</v>
      </c>
      <c r="J119" s="3">
        <v>0</v>
      </c>
      <c r="K119" s="3" t="s">
        <v>22</v>
      </c>
      <c r="L119" s="6" t="str">
        <f t="shared" si="2"/>
        <v>Loyal Customer</v>
      </c>
      <c r="M119" s="6" t="str">
        <f t="shared" si="3"/>
        <v>Low Risk</v>
      </c>
    </row>
    <row r="120" spans="1:13" x14ac:dyDescent="0.25">
      <c r="A120" s="3" t="s">
        <v>260</v>
      </c>
      <c r="B120" s="4" t="s">
        <v>261</v>
      </c>
      <c r="C120" s="3">
        <v>22</v>
      </c>
      <c r="D120" s="4" t="s">
        <v>13</v>
      </c>
      <c r="E120" s="4" t="s">
        <v>29</v>
      </c>
      <c r="F120" s="4" t="s">
        <v>15</v>
      </c>
      <c r="G120" s="3">
        <v>499</v>
      </c>
      <c r="H120" s="3">
        <v>2</v>
      </c>
      <c r="I120" s="3">
        <v>5</v>
      </c>
      <c r="J120" s="3">
        <v>6</v>
      </c>
      <c r="K120" s="3" t="s">
        <v>16</v>
      </c>
      <c r="L120" s="6" t="str">
        <f t="shared" si="2"/>
        <v>New Customer</v>
      </c>
      <c r="M120" s="6" t="str">
        <f t="shared" si="3"/>
        <v>High Risk</v>
      </c>
    </row>
    <row r="121" spans="1:13" x14ac:dyDescent="0.25">
      <c r="A121" s="3" t="s">
        <v>262</v>
      </c>
      <c r="B121" s="4" t="s">
        <v>263</v>
      </c>
      <c r="C121" s="3">
        <v>30</v>
      </c>
      <c r="D121" s="4" t="s">
        <v>19</v>
      </c>
      <c r="E121" s="4" t="s">
        <v>32</v>
      </c>
      <c r="F121" s="4" t="s">
        <v>26</v>
      </c>
      <c r="G121" s="3">
        <v>699</v>
      </c>
      <c r="H121" s="3">
        <v>21</v>
      </c>
      <c r="I121" s="3">
        <v>1</v>
      </c>
      <c r="J121" s="3">
        <v>2</v>
      </c>
      <c r="K121" s="3" t="s">
        <v>22</v>
      </c>
      <c r="L121" s="6" t="str">
        <f t="shared" si="2"/>
        <v>New Customer</v>
      </c>
      <c r="M121" s="6" t="str">
        <f t="shared" si="3"/>
        <v>Low Risk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5D6C-24B5-4A82-94AF-508625861FDA}">
  <dimension ref="B1:O37"/>
  <sheetViews>
    <sheetView showGridLines="0" showRowColHeaders="0" tabSelected="1" topLeftCell="B2" zoomScale="80" zoomScaleNormal="80" workbookViewId="0">
      <selection activeCell="O38" sqref="O38"/>
    </sheetView>
  </sheetViews>
  <sheetFormatPr defaultRowHeight="15" x14ac:dyDescent="0.25"/>
  <cols>
    <col min="1" max="1" width="2.7109375" customWidth="1"/>
    <col min="2" max="2" width="17.140625" customWidth="1"/>
    <col min="3" max="3" width="20.7109375" bestFit="1" customWidth="1"/>
    <col min="4" max="4" width="3.85546875" customWidth="1"/>
    <col min="5" max="5" width="24.5703125" customWidth="1"/>
    <col min="6" max="6" width="17" customWidth="1"/>
    <col min="7" max="7" width="3.28515625" customWidth="1"/>
    <col min="8" max="8" width="29.85546875" bestFit="1" customWidth="1"/>
    <col min="9" max="9" width="20.7109375" bestFit="1" customWidth="1"/>
    <col min="10" max="10" width="3.140625" customWidth="1"/>
    <col min="11" max="11" width="28.5703125" customWidth="1"/>
    <col min="12" max="12" width="20.7109375" bestFit="1" customWidth="1"/>
    <col min="13" max="13" width="3.5703125" customWidth="1"/>
    <col min="14" max="14" width="23.7109375" customWidth="1"/>
    <col min="15" max="15" width="23" bestFit="1" customWidth="1"/>
  </cols>
  <sheetData>
    <row r="1" spans="2:15" ht="21" x14ac:dyDescent="0.35">
      <c r="N1" s="33"/>
    </row>
    <row r="2" spans="2:15" ht="21.75" customHeight="1" x14ac:dyDescent="0.25">
      <c r="B2" s="29" t="s">
        <v>280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</row>
    <row r="3" spans="2:15" ht="24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2:15" x14ac:dyDescent="0.25">
      <c r="B4" s="28" t="s">
        <v>279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</row>
    <row r="5" spans="2:15" x14ac:dyDescent="0.25">
      <c r="B5" s="19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0"/>
    </row>
    <row r="6" spans="2:15" ht="21" x14ac:dyDescent="0.35">
      <c r="B6" s="19"/>
      <c r="C6" s="24"/>
      <c r="D6" s="24"/>
      <c r="E6" s="24"/>
      <c r="F6" s="24"/>
      <c r="G6" s="24"/>
      <c r="H6" s="7" t="s">
        <v>266</v>
      </c>
      <c r="I6" s="8">
        <f>COUNTA(Sheet1!A:A)-1</f>
        <v>120</v>
      </c>
      <c r="J6" s="24"/>
      <c r="K6" s="24"/>
      <c r="L6" s="24"/>
      <c r="M6" s="24"/>
      <c r="N6" s="24"/>
      <c r="O6" s="20"/>
    </row>
    <row r="7" spans="2:15" ht="21" x14ac:dyDescent="0.35">
      <c r="B7" s="19"/>
      <c r="C7" s="24"/>
      <c r="D7" s="24"/>
      <c r="E7" s="24"/>
      <c r="F7" s="24"/>
      <c r="G7" s="24"/>
      <c r="H7" s="9" t="s">
        <v>267</v>
      </c>
      <c r="I7" s="10">
        <f>COUNTIF(Sheet1!K:K,"Yes")</f>
        <v>51</v>
      </c>
      <c r="J7" s="24"/>
      <c r="K7" s="24"/>
      <c r="L7" s="24"/>
      <c r="M7" s="24"/>
      <c r="N7" s="24"/>
      <c r="O7" s="20"/>
    </row>
    <row r="8" spans="2:15" ht="21" x14ac:dyDescent="0.35">
      <c r="B8" s="19"/>
      <c r="C8" s="24"/>
      <c r="D8" s="24"/>
      <c r="E8" s="24"/>
      <c r="F8" s="24"/>
      <c r="G8" s="24"/>
      <c r="H8" s="11" t="s">
        <v>268</v>
      </c>
      <c r="I8" s="12">
        <f>COUNTIF(Sheet1!K:K,"No")</f>
        <v>69</v>
      </c>
      <c r="J8" s="24"/>
      <c r="K8" s="24"/>
      <c r="L8" s="24"/>
      <c r="M8" s="24"/>
      <c r="N8" s="24"/>
      <c r="O8" s="20"/>
    </row>
    <row r="9" spans="2:15" ht="21" x14ac:dyDescent="0.35">
      <c r="B9" s="19"/>
      <c r="C9" s="24"/>
      <c r="D9" s="24"/>
      <c r="E9" s="24"/>
      <c r="F9" s="24"/>
      <c r="G9" s="24"/>
      <c r="H9" s="11" t="s">
        <v>269</v>
      </c>
      <c r="I9" s="32">
        <f>51/120</f>
        <v>0.42499999999999999</v>
      </c>
      <c r="J9" s="24"/>
      <c r="K9" s="24"/>
      <c r="L9" s="24"/>
      <c r="M9" s="24"/>
      <c r="N9" s="24"/>
      <c r="O9" s="20"/>
    </row>
    <row r="10" spans="2:15" x14ac:dyDescent="0.25">
      <c r="B10" s="19"/>
      <c r="C10" s="24"/>
      <c r="D10" s="24"/>
      <c r="E10" s="24"/>
      <c r="F10" s="24"/>
      <c r="G10" s="24"/>
      <c r="H10" s="24"/>
      <c r="I10" s="24"/>
      <c r="J10" s="24"/>
      <c r="K10" s="24"/>
      <c r="L10" s="24" t="s">
        <v>281</v>
      </c>
      <c r="M10" s="24"/>
      <c r="N10" s="24"/>
      <c r="O10" s="20"/>
    </row>
    <row r="11" spans="2:15" x14ac:dyDescent="0.25">
      <c r="B11" s="1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0"/>
    </row>
    <row r="12" spans="2:15" x14ac:dyDescent="0.25">
      <c r="B12" s="13" t="s">
        <v>273</v>
      </c>
      <c r="C12" s="14" t="s">
        <v>272</v>
      </c>
      <c r="D12" s="24"/>
      <c r="E12" s="13" t="s">
        <v>10</v>
      </c>
      <c r="F12" s="14" t="s">
        <v>16</v>
      </c>
      <c r="G12" s="24"/>
      <c r="H12" s="13" t="s">
        <v>10</v>
      </c>
      <c r="I12" s="14" t="s">
        <v>16</v>
      </c>
      <c r="J12" s="24"/>
      <c r="K12" s="13" t="s">
        <v>264</v>
      </c>
      <c r="L12" s="14" t="s">
        <v>272</v>
      </c>
      <c r="M12" s="24"/>
      <c r="N12" s="13" t="s">
        <v>270</v>
      </c>
      <c r="O12" s="14" t="s">
        <v>278</v>
      </c>
    </row>
    <row r="13" spans="2:15" x14ac:dyDescent="0.25">
      <c r="B13" s="15" t="s">
        <v>22</v>
      </c>
      <c r="C13" s="16">
        <v>69</v>
      </c>
      <c r="D13" s="24"/>
      <c r="E13" s="19"/>
      <c r="F13" s="20"/>
      <c r="G13" s="24"/>
      <c r="H13" s="19"/>
      <c r="I13" s="20"/>
      <c r="J13" s="24"/>
      <c r="K13" s="15" t="s">
        <v>277</v>
      </c>
      <c r="L13" s="16">
        <v>48</v>
      </c>
      <c r="M13" s="24"/>
      <c r="N13" s="15" t="s">
        <v>22</v>
      </c>
      <c r="O13" s="16">
        <v>53</v>
      </c>
    </row>
    <row r="14" spans="2:15" x14ac:dyDescent="0.25">
      <c r="B14" s="15" t="s">
        <v>16</v>
      </c>
      <c r="C14" s="16">
        <v>51</v>
      </c>
      <c r="D14" s="24"/>
      <c r="E14" s="21" t="s">
        <v>274</v>
      </c>
      <c r="F14" s="20" t="s">
        <v>275</v>
      </c>
      <c r="G14" s="24"/>
      <c r="H14" s="21" t="s">
        <v>282</v>
      </c>
      <c r="I14" s="20" t="s">
        <v>272</v>
      </c>
      <c r="J14" s="24"/>
      <c r="K14" s="15" t="s">
        <v>276</v>
      </c>
      <c r="L14" s="16">
        <v>72</v>
      </c>
      <c r="M14" s="24"/>
      <c r="N14" s="15" t="s">
        <v>16</v>
      </c>
      <c r="O14" s="16">
        <v>189</v>
      </c>
    </row>
    <row r="15" spans="2:15" x14ac:dyDescent="0.25">
      <c r="B15" s="17" t="s">
        <v>271</v>
      </c>
      <c r="C15" s="18">
        <v>120</v>
      </c>
      <c r="D15" s="24"/>
      <c r="E15" s="15" t="s">
        <v>15</v>
      </c>
      <c r="F15" s="16">
        <v>36</v>
      </c>
      <c r="G15" s="24"/>
      <c r="H15" s="15" t="s">
        <v>25</v>
      </c>
      <c r="I15" s="16">
        <v>9</v>
      </c>
      <c r="J15" s="24"/>
      <c r="K15" s="17" t="s">
        <v>271</v>
      </c>
      <c r="L15" s="18">
        <v>120</v>
      </c>
      <c r="M15" s="24"/>
      <c r="N15" s="17" t="s">
        <v>271</v>
      </c>
      <c r="O15" s="18">
        <v>242</v>
      </c>
    </row>
    <row r="16" spans="2:15" x14ac:dyDescent="0.25">
      <c r="B16" s="19"/>
      <c r="C16" s="24"/>
      <c r="D16" s="24"/>
      <c r="E16" s="15" t="s">
        <v>21</v>
      </c>
      <c r="F16" s="16">
        <v>6</v>
      </c>
      <c r="G16" s="24"/>
      <c r="H16" s="15" t="s">
        <v>29</v>
      </c>
      <c r="I16" s="16">
        <v>11</v>
      </c>
      <c r="J16" s="24"/>
      <c r="K16" s="24"/>
      <c r="L16" s="24"/>
      <c r="M16" s="24"/>
      <c r="N16" s="24"/>
      <c r="O16" s="20"/>
    </row>
    <row r="17" spans="2:15" x14ac:dyDescent="0.25">
      <c r="B17" s="19"/>
      <c r="C17" s="24"/>
      <c r="D17" s="24"/>
      <c r="E17" s="15" t="s">
        <v>26</v>
      </c>
      <c r="F17" s="16">
        <v>9</v>
      </c>
      <c r="G17" s="24"/>
      <c r="H17" s="15" t="s">
        <v>14</v>
      </c>
      <c r="I17" s="16">
        <v>8</v>
      </c>
      <c r="J17" s="24"/>
      <c r="K17" s="24"/>
      <c r="L17" s="24"/>
      <c r="M17" s="24"/>
      <c r="N17" s="24"/>
      <c r="O17" s="20"/>
    </row>
    <row r="18" spans="2:15" x14ac:dyDescent="0.25">
      <c r="B18" s="19"/>
      <c r="C18" s="24"/>
      <c r="D18" s="24"/>
      <c r="E18" s="17" t="s">
        <v>271</v>
      </c>
      <c r="F18" s="18">
        <v>51</v>
      </c>
      <c r="G18" s="24"/>
      <c r="H18" s="15" t="s">
        <v>32</v>
      </c>
      <c r="I18" s="16">
        <v>5</v>
      </c>
      <c r="J18" s="24"/>
      <c r="K18" s="24"/>
      <c r="L18" s="24"/>
      <c r="M18" s="24"/>
      <c r="N18" s="24"/>
      <c r="O18" s="20"/>
    </row>
    <row r="19" spans="2:15" x14ac:dyDescent="0.25">
      <c r="B19" s="19"/>
      <c r="C19" s="24"/>
      <c r="D19" s="24"/>
      <c r="E19" s="24"/>
      <c r="F19" s="24"/>
      <c r="G19" s="24"/>
      <c r="H19" s="15" t="s">
        <v>20</v>
      </c>
      <c r="I19" s="16">
        <v>6</v>
      </c>
      <c r="J19" s="24"/>
      <c r="K19" s="24"/>
      <c r="L19" s="24"/>
      <c r="M19" s="24"/>
      <c r="N19" s="24"/>
      <c r="O19" s="20"/>
    </row>
    <row r="20" spans="2:15" x14ac:dyDescent="0.25">
      <c r="B20" s="19"/>
      <c r="C20" s="24"/>
      <c r="D20" s="24"/>
      <c r="E20" s="24"/>
      <c r="F20" s="24"/>
      <c r="G20" s="24"/>
      <c r="H20" s="15" t="s">
        <v>38</v>
      </c>
      <c r="I20" s="16">
        <v>12</v>
      </c>
      <c r="J20" s="24"/>
      <c r="K20" s="24"/>
      <c r="L20" s="24"/>
      <c r="M20" s="24"/>
      <c r="N20" s="24"/>
      <c r="O20" s="20"/>
    </row>
    <row r="21" spans="2:15" x14ac:dyDescent="0.25">
      <c r="B21" s="19"/>
      <c r="C21" s="24"/>
      <c r="D21" s="24"/>
      <c r="E21" s="24"/>
      <c r="F21" s="24"/>
      <c r="G21" s="24"/>
      <c r="H21" s="17" t="s">
        <v>271</v>
      </c>
      <c r="I21" s="18">
        <v>51</v>
      </c>
      <c r="J21" s="24"/>
      <c r="K21" s="24"/>
      <c r="L21" s="24"/>
      <c r="M21" s="24"/>
      <c r="N21" s="24"/>
      <c r="O21" s="20"/>
    </row>
    <row r="22" spans="2:15" x14ac:dyDescent="0.25">
      <c r="B22" s="19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/>
    </row>
    <row r="23" spans="2:15" x14ac:dyDescent="0.25">
      <c r="B23" s="19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/>
    </row>
    <row r="24" spans="2:15" x14ac:dyDescent="0.25">
      <c r="B24" s="19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/>
    </row>
    <row r="25" spans="2:15" x14ac:dyDescent="0.25">
      <c r="B25" s="19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/>
    </row>
    <row r="26" spans="2:15" x14ac:dyDescent="0.25">
      <c r="B26" s="19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/>
    </row>
    <row r="27" spans="2:15" x14ac:dyDescent="0.25">
      <c r="B27" s="19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/>
    </row>
    <row r="28" spans="2:15" x14ac:dyDescent="0.25">
      <c r="B28" s="19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/>
    </row>
    <row r="29" spans="2:15" x14ac:dyDescent="0.25">
      <c r="B29" s="19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/>
    </row>
    <row r="30" spans="2:15" x14ac:dyDescent="0.25">
      <c r="B30" s="19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/>
    </row>
    <row r="31" spans="2:15" x14ac:dyDescent="0.25">
      <c r="B31" s="19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/>
    </row>
    <row r="32" spans="2:15" x14ac:dyDescent="0.25">
      <c r="B32" s="19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/>
    </row>
    <row r="33" spans="2:15" x14ac:dyDescent="0.25">
      <c r="B33" s="19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0"/>
    </row>
    <row r="34" spans="2:15" x14ac:dyDescent="0.25">
      <c r="B34" s="19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0"/>
    </row>
    <row r="35" spans="2:15" x14ac:dyDescent="0.25">
      <c r="B35" s="19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0"/>
    </row>
    <row r="36" spans="2:15" x14ac:dyDescent="0.25">
      <c r="B36" s="19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0"/>
    </row>
    <row r="37" spans="2:15" x14ac:dyDescent="0.25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</row>
  </sheetData>
  <mergeCells count="2">
    <mergeCell ref="B2:O3"/>
    <mergeCell ref="B4:O4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Customer Churn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Jeebraeel</dc:creator>
  <cp:lastModifiedBy>Md Jeebraeel</cp:lastModifiedBy>
  <dcterms:created xsi:type="dcterms:W3CDTF">2026-06-11T08:45:05Z</dcterms:created>
  <dcterms:modified xsi:type="dcterms:W3CDTF">2026-06-11T14:50:01Z</dcterms:modified>
</cp:coreProperties>
</file>